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72988b17cb72207/Desktop/MSc/2. Semester/CFD/"/>
    </mc:Choice>
  </mc:AlternateContent>
  <xr:revisionPtr revIDLastSave="351" documentId="8_{6E4C4F34-BB1C-4804-99D0-6A37F1DC0501}" xr6:coauthVersionLast="47" xr6:coauthVersionMax="47" xr10:uidLastSave="{D2C8756D-B558-4E80-8CE1-8C2AFAD02B28}"/>
  <bookViews>
    <workbookView xWindow="-98" yWindow="-98" windowWidth="21795" windowHeight="12975" activeTab="1" xr2:uid="{36837513-3BA2-4D88-8227-C026973578D9}"/>
  </bookViews>
  <sheets>
    <sheet name="S1" sheetId="1" r:id="rId1"/>
    <sheet name="S2" sheetId="2" r:id="rId2"/>
    <sheet name="S3" sheetId="3" r:id="rId3"/>
    <sheet name="S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J39" i="4" l="1"/>
  <c r="AJ38" i="4"/>
  <c r="AJ37" i="4"/>
  <c r="AJ36" i="4"/>
  <c r="AJ35" i="4"/>
  <c r="AJ34" i="4"/>
  <c r="AJ33" i="4"/>
  <c r="AJ32" i="4"/>
  <c r="AJ31" i="4"/>
  <c r="AJ30" i="4"/>
  <c r="AJ29" i="4"/>
  <c r="AJ28" i="4"/>
  <c r="AJ27" i="4"/>
  <c r="AJ26" i="4"/>
  <c r="AJ25" i="4"/>
  <c r="AJ24" i="4"/>
  <c r="AJ23" i="4"/>
  <c r="AJ22" i="4"/>
  <c r="AJ21" i="4"/>
  <c r="AJ20" i="4"/>
  <c r="AJ19" i="4"/>
  <c r="AJ18" i="4"/>
  <c r="AJ17" i="4"/>
  <c r="AJ16" i="4"/>
  <c r="AJ15" i="4"/>
  <c r="AJ14" i="4"/>
  <c r="AJ13" i="4"/>
  <c r="AJ12" i="4"/>
  <c r="AJ11" i="4"/>
  <c r="AJ10" i="4"/>
  <c r="AJ9" i="4"/>
  <c r="AJ8" i="4"/>
  <c r="AJ7" i="4"/>
  <c r="AJ6" i="4"/>
  <c r="AJ5" i="4"/>
  <c r="AJ4" i="4"/>
  <c r="AJ3" i="4"/>
  <c r="AJ2" i="4"/>
  <c r="AJ39" i="3"/>
  <c r="AJ38" i="3"/>
  <c r="AJ37" i="3"/>
  <c r="AJ36" i="3"/>
  <c r="AJ35" i="3"/>
  <c r="AJ34" i="3"/>
  <c r="AJ33" i="3"/>
  <c r="AJ32" i="3"/>
  <c r="AJ31" i="3"/>
  <c r="AJ30" i="3"/>
  <c r="AJ29" i="3"/>
  <c r="AJ28" i="3"/>
  <c r="AJ27" i="3"/>
  <c r="AJ26" i="3"/>
  <c r="AJ25" i="3"/>
  <c r="AJ24" i="3"/>
  <c r="AJ23" i="3"/>
  <c r="AJ22" i="3"/>
  <c r="AJ21" i="3"/>
  <c r="AJ20" i="3"/>
  <c r="AJ19" i="3"/>
  <c r="AJ18" i="3"/>
  <c r="AJ17" i="3"/>
  <c r="AJ16" i="3"/>
  <c r="AJ15" i="3"/>
  <c r="AJ14" i="3"/>
  <c r="AJ10" i="3"/>
  <c r="AJ9" i="3"/>
  <c r="AJ8" i="3"/>
  <c r="AJ7" i="3"/>
  <c r="AJ6" i="3"/>
  <c r="AJ5" i="3"/>
  <c r="AJ4" i="3"/>
  <c r="AJ3" i="3"/>
  <c r="AJ2" i="3"/>
  <c r="AI3" i="3"/>
  <c r="AI39" i="4"/>
  <c r="AI38" i="4"/>
  <c r="AI37" i="4"/>
  <c r="AI36" i="4"/>
  <c r="AI35" i="4"/>
  <c r="AI34" i="4"/>
  <c r="AI33" i="4"/>
  <c r="AI32" i="4"/>
  <c r="AI31" i="4"/>
  <c r="AI30" i="4"/>
  <c r="AI29" i="4"/>
  <c r="AI28" i="4"/>
  <c r="AI27" i="4"/>
  <c r="AI26" i="4"/>
  <c r="AI25" i="4"/>
  <c r="AI24" i="4"/>
  <c r="AI23" i="4"/>
  <c r="AI22" i="4"/>
  <c r="AI21" i="4"/>
  <c r="AI20" i="4"/>
  <c r="AI19" i="4"/>
  <c r="AI18" i="4"/>
  <c r="AI17" i="4"/>
  <c r="AI16" i="4"/>
  <c r="AI15" i="4"/>
  <c r="AI14" i="4"/>
  <c r="AI13" i="4"/>
  <c r="AI12" i="4"/>
  <c r="AI11" i="4"/>
  <c r="AI10" i="4"/>
  <c r="AI9" i="4"/>
  <c r="AI8" i="4"/>
  <c r="AI7" i="4"/>
  <c r="AI6" i="4"/>
  <c r="AI5" i="4"/>
  <c r="AI4" i="4"/>
  <c r="AI3" i="4"/>
  <c r="AI2" i="4"/>
  <c r="AI2" i="3"/>
  <c r="AI39" i="3"/>
  <c r="AI38" i="3"/>
  <c r="AI37" i="3"/>
  <c r="AI36" i="3"/>
  <c r="AI35" i="3"/>
  <c r="AI34" i="3"/>
  <c r="AI33" i="3"/>
  <c r="AI32" i="3"/>
  <c r="AI31" i="3"/>
  <c r="AI30" i="3"/>
  <c r="AI29" i="3"/>
  <c r="AI28" i="3"/>
  <c r="AI27" i="3"/>
  <c r="AI26" i="3"/>
  <c r="AI25" i="3"/>
  <c r="AI24" i="3"/>
  <c r="AI23" i="3"/>
  <c r="AI22" i="3"/>
  <c r="AI21" i="3"/>
  <c r="AI20" i="3"/>
  <c r="AI19" i="3"/>
  <c r="AI18" i="3"/>
  <c r="AI17" i="3"/>
  <c r="AI16" i="3"/>
  <c r="AI15" i="3"/>
  <c r="AI14" i="3"/>
  <c r="AI13" i="3"/>
  <c r="AJ12" i="3"/>
  <c r="AI12" i="3"/>
  <c r="AJ11" i="3"/>
  <c r="AI11" i="3"/>
  <c r="AI10" i="3"/>
  <c r="AI9" i="3"/>
  <c r="AI8" i="3"/>
  <c r="AI7" i="3"/>
  <c r="AI6" i="3"/>
  <c r="AI5" i="3"/>
  <c r="AI4" i="3"/>
  <c r="AJ38" i="2"/>
  <c r="AJ37" i="2"/>
  <c r="AJ35" i="2"/>
  <c r="AJ34" i="2"/>
  <c r="AJ32" i="2"/>
  <c r="AJ31" i="2"/>
  <c r="AJ29" i="2"/>
  <c r="AJ28" i="2"/>
  <c r="AJ26" i="2"/>
  <c r="AJ25" i="2"/>
  <c r="AJ23" i="2"/>
  <c r="AJ22" i="2"/>
  <c r="AJ20" i="2"/>
  <c r="AJ19" i="2"/>
  <c r="AJ17" i="2"/>
  <c r="AJ16" i="2"/>
  <c r="AJ39" i="2"/>
  <c r="AJ36" i="2"/>
  <c r="AJ33" i="2"/>
  <c r="AJ30" i="2"/>
  <c r="AJ27" i="2"/>
  <c r="AJ24" i="2"/>
  <c r="AJ21" i="2"/>
  <c r="AJ15" i="2"/>
  <c r="AJ18" i="2"/>
  <c r="AJ14" i="2"/>
  <c r="AJ13" i="2"/>
  <c r="AJ12" i="2"/>
  <c r="AJ11" i="2"/>
  <c r="AJ10" i="2"/>
  <c r="AJ8" i="2"/>
  <c r="AJ9" i="2"/>
  <c r="AI9" i="2"/>
  <c r="AJ7" i="2"/>
  <c r="AJ5" i="2"/>
  <c r="AJ6" i="2"/>
  <c r="AJ4" i="2"/>
  <c r="AJ2" i="2"/>
  <c r="AJ3" i="2"/>
  <c r="AI3" i="2"/>
  <c r="AI4" i="2"/>
  <c r="AI5" i="2"/>
  <c r="AI6" i="2"/>
  <c r="AI7" i="2"/>
  <c r="AI8" i="2"/>
  <c r="AI10" i="2"/>
  <c r="AI11" i="2"/>
  <c r="AI12" i="2"/>
  <c r="AI13" i="2"/>
  <c r="AI14" i="2"/>
  <c r="AI15" i="2"/>
  <c r="AI16" i="2"/>
  <c r="AI17" i="2"/>
  <c r="AI18" i="2"/>
  <c r="AI19" i="2"/>
  <c r="AI20" i="2"/>
  <c r="AI21" i="2"/>
  <c r="AI22" i="2"/>
  <c r="AI23" i="2"/>
  <c r="AI24" i="2"/>
  <c r="AI25" i="2"/>
  <c r="AI26" i="2"/>
  <c r="AI27" i="2"/>
  <c r="AI28" i="2"/>
  <c r="AI29" i="2"/>
  <c r="AI30" i="2"/>
  <c r="AI31" i="2"/>
  <c r="AI32" i="2"/>
  <c r="AI33" i="2"/>
  <c r="AI34" i="2"/>
  <c r="AI35" i="2"/>
  <c r="AI36" i="2"/>
  <c r="AI37" i="2"/>
  <c r="AI38" i="2"/>
  <c r="AI39" i="2"/>
  <c r="AI2" i="2"/>
  <c r="S28" i="4"/>
  <c r="S27" i="4"/>
  <c r="S26" i="4"/>
  <c r="S25" i="4"/>
  <c r="S24" i="4"/>
  <c r="AC22" i="4" s="1"/>
  <c r="S23" i="4"/>
  <c r="AC21" i="4" s="1"/>
  <c r="S22" i="4"/>
  <c r="S21" i="4"/>
  <c r="AC20" i="4" s="1"/>
  <c r="S20" i="4"/>
  <c r="S19" i="4"/>
  <c r="S18" i="4"/>
  <c r="S17" i="4"/>
  <c r="S16" i="4"/>
  <c r="S15" i="4"/>
  <c r="AC14" i="4" s="1"/>
  <c r="S14" i="4"/>
  <c r="AC13" i="4" s="1"/>
  <c r="S13" i="4"/>
  <c r="AC12" i="4" s="1"/>
  <c r="S12" i="4"/>
  <c r="S11" i="4"/>
  <c r="S10" i="4"/>
  <c r="S9" i="4"/>
  <c r="S8" i="4"/>
  <c r="AC6" i="4" s="1"/>
  <c r="S7" i="4"/>
  <c r="AC5" i="4" s="1"/>
  <c r="S6" i="4"/>
  <c r="AC4" i="4" s="1"/>
  <c r="S5" i="4"/>
  <c r="S4" i="4"/>
  <c r="S3" i="4"/>
  <c r="AC25" i="4"/>
  <c r="AB25" i="4"/>
  <c r="AC24" i="4"/>
  <c r="AB24" i="4"/>
  <c r="AC23" i="4"/>
  <c r="AB23" i="4"/>
  <c r="AB22" i="4"/>
  <c r="AB21" i="4"/>
  <c r="AB20" i="4"/>
  <c r="AB19" i="4"/>
  <c r="AC18" i="4"/>
  <c r="AB18" i="4"/>
  <c r="AC17" i="4"/>
  <c r="AB17" i="4"/>
  <c r="AC16" i="4"/>
  <c r="AB16" i="4"/>
  <c r="AC15" i="4"/>
  <c r="AB15" i="4"/>
  <c r="AB14" i="4"/>
  <c r="AB13" i="4"/>
  <c r="AB12" i="4"/>
  <c r="AB11" i="4"/>
  <c r="AB10" i="4"/>
  <c r="AC9" i="4"/>
  <c r="AB9" i="4"/>
  <c r="AC8" i="4"/>
  <c r="AB8" i="4"/>
  <c r="AC7" i="4"/>
  <c r="AB7" i="4"/>
  <c r="AB6" i="4"/>
  <c r="AB5" i="4"/>
  <c r="AB4" i="4"/>
  <c r="AC3" i="4"/>
  <c r="AB3" i="4"/>
  <c r="AC25" i="3"/>
  <c r="AB25" i="3"/>
  <c r="AC24" i="3"/>
  <c r="AB24" i="3"/>
  <c r="AC23" i="3"/>
  <c r="AB23" i="3"/>
  <c r="AC22" i="3"/>
  <c r="AB22" i="3"/>
  <c r="AC21" i="3"/>
  <c r="AB21" i="3"/>
  <c r="AC20" i="3"/>
  <c r="AB20" i="3"/>
  <c r="AC19" i="3"/>
  <c r="AB19" i="3"/>
  <c r="AC18" i="3"/>
  <c r="AB18" i="3"/>
  <c r="AC17" i="3"/>
  <c r="AB17" i="3"/>
  <c r="AC16" i="3"/>
  <c r="AB16" i="3"/>
  <c r="AC15" i="3"/>
  <c r="AB15" i="3"/>
  <c r="AC14" i="3"/>
  <c r="AB14" i="3"/>
  <c r="AC13" i="3"/>
  <c r="AB13" i="3"/>
  <c r="AC12" i="3"/>
  <c r="AB12" i="3"/>
  <c r="AC11" i="3"/>
  <c r="AB11" i="3"/>
  <c r="AC10" i="3"/>
  <c r="AB10" i="3"/>
  <c r="AC9" i="3"/>
  <c r="AB9" i="3"/>
  <c r="AC8" i="3"/>
  <c r="AB8" i="3"/>
  <c r="AC7" i="3"/>
  <c r="AB7" i="3"/>
  <c r="AC6" i="3"/>
  <c r="AB6" i="3"/>
  <c r="AC5" i="3"/>
  <c r="AB5" i="3"/>
  <c r="AC4" i="3"/>
  <c r="AB4" i="3"/>
  <c r="AC3" i="3"/>
  <c r="AB3" i="3"/>
  <c r="S19" i="3"/>
  <c r="S28" i="3"/>
  <c r="S27" i="3"/>
  <c r="S26" i="3"/>
  <c r="S25" i="3"/>
  <c r="S24" i="3"/>
  <c r="S23" i="3"/>
  <c r="S22" i="3"/>
  <c r="S21" i="3"/>
  <c r="S20" i="3"/>
  <c r="S18" i="3"/>
  <c r="S17" i="3"/>
  <c r="S16" i="3"/>
  <c r="S15" i="3"/>
  <c r="S14" i="3"/>
  <c r="S13" i="3"/>
  <c r="S12" i="3"/>
  <c r="S11" i="3"/>
  <c r="S10" i="3"/>
  <c r="S9" i="3"/>
  <c r="S8" i="3"/>
  <c r="S7" i="3"/>
  <c r="S6" i="3"/>
  <c r="S5" i="3"/>
  <c r="S4" i="3"/>
  <c r="S3" i="3"/>
  <c r="AC25" i="2"/>
  <c r="AC24" i="2"/>
  <c r="AC23" i="2"/>
  <c r="AC22" i="2"/>
  <c r="AC21" i="2"/>
  <c r="AC20" i="2"/>
  <c r="AC18" i="2"/>
  <c r="AC19" i="2"/>
  <c r="AC17" i="2"/>
  <c r="AC16" i="2"/>
  <c r="AC15" i="2"/>
  <c r="AC14" i="2"/>
  <c r="AC13" i="2"/>
  <c r="AC12" i="2"/>
  <c r="AC11" i="2"/>
  <c r="AC10" i="2"/>
  <c r="AC9" i="2"/>
  <c r="AC8" i="2"/>
  <c r="AC7" i="2"/>
  <c r="AC6" i="2"/>
  <c r="AC5" i="2"/>
  <c r="AC4" i="2"/>
  <c r="AC3" i="2"/>
  <c r="AB3" i="2"/>
  <c r="AB25" i="2"/>
  <c r="AB24" i="2"/>
  <c r="AB23" i="2"/>
  <c r="AB22" i="2"/>
  <c r="AB21" i="2"/>
  <c r="AB20" i="2"/>
  <c r="AB19" i="2"/>
  <c r="AB18" i="2"/>
  <c r="AB17" i="2"/>
  <c r="AB16" i="2"/>
  <c r="AB15" i="2"/>
  <c r="AB14" i="2"/>
  <c r="AB13" i="2"/>
  <c r="AB12" i="2"/>
  <c r="AB11" i="2"/>
  <c r="AB10" i="2"/>
  <c r="AB9" i="2"/>
  <c r="AB8" i="2"/>
  <c r="AB7" i="2"/>
  <c r="AB6" i="2"/>
  <c r="AB5" i="2"/>
  <c r="AB4" i="2"/>
  <c r="Z27" i="2"/>
  <c r="Z26" i="2"/>
  <c r="Z25" i="2"/>
  <c r="Z24" i="2"/>
  <c r="Z23" i="2"/>
  <c r="Z22" i="2"/>
  <c r="Z21" i="2"/>
  <c r="Z20" i="2"/>
  <c r="Z19" i="2"/>
  <c r="Z18" i="2"/>
  <c r="Z17" i="2"/>
  <c r="Z4" i="2"/>
  <c r="X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8" i="2"/>
  <c r="S3" i="2"/>
  <c r="AA27" i="4"/>
  <c r="Z27" i="4"/>
  <c r="Y27" i="4"/>
  <c r="X27" i="4"/>
  <c r="AA26" i="4"/>
  <c r="Z26" i="4"/>
  <c r="Y26" i="4"/>
  <c r="X26" i="4"/>
  <c r="AA25" i="4"/>
  <c r="Z25" i="4"/>
  <c r="Y25" i="4"/>
  <c r="X25" i="4"/>
  <c r="AA24" i="4"/>
  <c r="Z24" i="4"/>
  <c r="Y24" i="4"/>
  <c r="X24" i="4"/>
  <c r="AA23" i="4"/>
  <c r="Z23" i="4"/>
  <c r="Y23" i="4"/>
  <c r="X23" i="4"/>
  <c r="AA22" i="4"/>
  <c r="Z22" i="4"/>
  <c r="Y22" i="4"/>
  <c r="X22" i="4"/>
  <c r="AA21" i="4"/>
  <c r="Z21" i="4"/>
  <c r="Y21" i="4"/>
  <c r="X21" i="4"/>
  <c r="AA20" i="4"/>
  <c r="Z20" i="4"/>
  <c r="Y20" i="4"/>
  <c r="X20" i="4"/>
  <c r="AA19" i="4"/>
  <c r="Z19" i="4"/>
  <c r="Y19" i="4"/>
  <c r="X19" i="4"/>
  <c r="AA18" i="4"/>
  <c r="Z18" i="4"/>
  <c r="Y18" i="4"/>
  <c r="X18" i="4"/>
  <c r="AA17" i="4"/>
  <c r="Z17" i="4"/>
  <c r="Y17" i="4"/>
  <c r="X17" i="4"/>
  <c r="AA16" i="4"/>
  <c r="Z16" i="4"/>
  <c r="Y16" i="4"/>
  <c r="X16" i="4"/>
  <c r="AA15" i="4"/>
  <c r="Z15" i="4"/>
  <c r="Y15" i="4"/>
  <c r="X15" i="4"/>
  <c r="AA14" i="4"/>
  <c r="Z14" i="4"/>
  <c r="Y14" i="4"/>
  <c r="X14" i="4"/>
  <c r="AA13" i="4"/>
  <c r="Z13" i="4"/>
  <c r="Y13" i="4"/>
  <c r="X13" i="4"/>
  <c r="AA12" i="4"/>
  <c r="Z12" i="4"/>
  <c r="Y12" i="4"/>
  <c r="X12" i="4"/>
  <c r="AA11" i="4"/>
  <c r="Z11" i="4"/>
  <c r="Y11" i="4"/>
  <c r="X11" i="4"/>
  <c r="AA10" i="4"/>
  <c r="Z10" i="4"/>
  <c r="Y10" i="4"/>
  <c r="X10" i="4"/>
  <c r="AA9" i="4"/>
  <c r="Z9" i="4"/>
  <c r="Y9" i="4"/>
  <c r="X9" i="4"/>
  <c r="AA8" i="4"/>
  <c r="Z8" i="4"/>
  <c r="Y8" i="4"/>
  <c r="X8" i="4"/>
  <c r="AA7" i="4"/>
  <c r="Z7" i="4"/>
  <c r="Y7" i="4"/>
  <c r="X7" i="4"/>
  <c r="AA6" i="4"/>
  <c r="Z6" i="4"/>
  <c r="Y6" i="4"/>
  <c r="X6" i="4"/>
  <c r="AA5" i="4"/>
  <c r="Z5" i="4"/>
  <c r="Y5" i="4"/>
  <c r="X5" i="4"/>
  <c r="AA4" i="4"/>
  <c r="Z4" i="4"/>
  <c r="Y4" i="4"/>
  <c r="X4" i="4"/>
  <c r="AA3" i="4"/>
  <c r="Z3" i="4"/>
  <c r="Y3" i="4"/>
  <c r="X3" i="4"/>
  <c r="X3" i="3"/>
  <c r="AA27" i="3"/>
  <c r="Z27" i="3"/>
  <c r="Y27" i="3"/>
  <c r="X27" i="3"/>
  <c r="AA26" i="3"/>
  <c r="Z26" i="3"/>
  <c r="Y26" i="3"/>
  <c r="X26" i="3"/>
  <c r="AA25" i="3"/>
  <c r="Z25" i="3"/>
  <c r="Y25" i="3"/>
  <c r="X25" i="3"/>
  <c r="AA24" i="3"/>
  <c r="Z24" i="3"/>
  <c r="Y24" i="3"/>
  <c r="X24" i="3"/>
  <c r="AA23" i="3"/>
  <c r="Z23" i="3"/>
  <c r="Y23" i="3"/>
  <c r="X23" i="3"/>
  <c r="AA22" i="3"/>
  <c r="Z22" i="3"/>
  <c r="Y22" i="3"/>
  <c r="X22" i="3"/>
  <c r="AA21" i="3"/>
  <c r="Z21" i="3"/>
  <c r="Y21" i="3"/>
  <c r="X21" i="3"/>
  <c r="AA20" i="3"/>
  <c r="Z20" i="3"/>
  <c r="Y20" i="3"/>
  <c r="X20" i="3"/>
  <c r="AA19" i="3"/>
  <c r="Z19" i="3"/>
  <c r="Y19" i="3"/>
  <c r="X19" i="3"/>
  <c r="AA18" i="3"/>
  <c r="Z18" i="3"/>
  <c r="Y18" i="3"/>
  <c r="X18" i="3"/>
  <c r="AA17" i="3"/>
  <c r="Z17" i="3"/>
  <c r="Y17" i="3"/>
  <c r="X17" i="3"/>
  <c r="AA16" i="3"/>
  <c r="Z16" i="3"/>
  <c r="Y16" i="3"/>
  <c r="X16" i="3"/>
  <c r="AA15" i="3"/>
  <c r="Z15" i="3"/>
  <c r="Y15" i="3"/>
  <c r="X15" i="3"/>
  <c r="AA14" i="3"/>
  <c r="Z14" i="3"/>
  <c r="Y14" i="3"/>
  <c r="X14" i="3"/>
  <c r="AA13" i="3"/>
  <c r="Z13" i="3"/>
  <c r="Y13" i="3"/>
  <c r="X13" i="3"/>
  <c r="AA12" i="3"/>
  <c r="Z12" i="3"/>
  <c r="Y12" i="3"/>
  <c r="X12" i="3"/>
  <c r="AA11" i="3"/>
  <c r="Z11" i="3"/>
  <c r="Y11" i="3"/>
  <c r="X11" i="3"/>
  <c r="AA10" i="3"/>
  <c r="Z10" i="3"/>
  <c r="Y10" i="3"/>
  <c r="X10" i="3"/>
  <c r="AA9" i="3"/>
  <c r="Z9" i="3"/>
  <c r="Y9" i="3"/>
  <c r="X9" i="3"/>
  <c r="AA8" i="3"/>
  <c r="Z8" i="3"/>
  <c r="Y8" i="3"/>
  <c r="X8" i="3"/>
  <c r="AA7" i="3"/>
  <c r="Z7" i="3"/>
  <c r="Y7" i="3"/>
  <c r="X7" i="3"/>
  <c r="AA6" i="3"/>
  <c r="Z6" i="3"/>
  <c r="Y6" i="3"/>
  <c r="X6" i="3"/>
  <c r="AA5" i="3"/>
  <c r="Z5" i="3"/>
  <c r="Y5" i="3"/>
  <c r="X5" i="3"/>
  <c r="AA4" i="3"/>
  <c r="Z4" i="3"/>
  <c r="Y4" i="3"/>
  <c r="X4" i="3"/>
  <c r="AA3" i="3"/>
  <c r="Z3" i="3"/>
  <c r="Y3" i="3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AA21" i="2"/>
  <c r="AA22" i="2"/>
  <c r="AA23" i="2"/>
  <c r="AA24" i="2"/>
  <c r="AA25" i="2"/>
  <c r="AA26" i="2"/>
  <c r="AA27" i="2"/>
  <c r="AA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Y21" i="2"/>
  <c r="Y22" i="2"/>
  <c r="Y23" i="2"/>
  <c r="Y24" i="2"/>
  <c r="Y25" i="2"/>
  <c r="Y26" i="2"/>
  <c r="Y27" i="2"/>
  <c r="Y3" i="2"/>
  <c r="Z16" i="2"/>
  <c r="Z15" i="2"/>
  <c r="Z14" i="2"/>
  <c r="Z13" i="2"/>
  <c r="Z12" i="2"/>
  <c r="Z11" i="2"/>
  <c r="Z10" i="2"/>
  <c r="Z9" i="2"/>
  <c r="X9" i="2"/>
  <c r="Z8" i="2"/>
  <c r="X8" i="2"/>
  <c r="Z7" i="2"/>
  <c r="X7" i="2"/>
  <c r="Z6" i="2"/>
  <c r="X6" i="2"/>
  <c r="Z5" i="2"/>
  <c r="X5" i="2"/>
  <c r="X4" i="2"/>
  <c r="Z3" i="2"/>
  <c r="X27" i="2"/>
  <c r="X26" i="2"/>
  <c r="X25" i="2"/>
  <c r="X24" i="2"/>
  <c r="X23" i="2"/>
  <c r="X22" i="2"/>
  <c r="X21" i="2"/>
  <c r="X20" i="2"/>
  <c r="X19" i="2"/>
  <c r="X18" i="2"/>
  <c r="X17" i="2"/>
  <c r="X16" i="2"/>
  <c r="X15" i="2"/>
  <c r="X14" i="2"/>
  <c r="X13" i="2"/>
  <c r="X12" i="2"/>
  <c r="X11" i="2"/>
  <c r="X10" i="2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3" i="1"/>
  <c r="AJ13" i="3" l="1"/>
  <c r="AC10" i="4"/>
  <c r="AC11" i="4"/>
  <c r="AC19" i="4"/>
</calcChain>
</file>

<file path=xl/sharedStrings.xml><?xml version="1.0" encoding="utf-8"?>
<sst xmlns="http://schemas.openxmlformats.org/spreadsheetml/2006/main" count="124" uniqueCount="37">
  <si>
    <t>Velocity[i] (m/s)</t>
  </si>
  <si>
    <t>Position[Y] (m)</t>
  </si>
  <si>
    <t>Velocity[j] (m/s)</t>
  </si>
  <si>
    <t>Temperature (K)</t>
  </si>
  <si>
    <t>X (m)</t>
  </si>
  <si>
    <t>Y (m)</t>
  </si>
  <si>
    <t>Z (m)</t>
  </si>
  <si>
    <t>Simulation</t>
  </si>
  <si>
    <t>Experiment</t>
  </si>
  <si>
    <t># Y (cm</t>
  </si>
  <si>
    <t>)    P2-P3</t>
  </si>
  <si>
    <t>P1-Ps</t>
  </si>
  <si>
    <t>(P-Ps)</t>
  </si>
  <si>
    <t>dyn  Uref</t>
  </si>
  <si>
    <t>U(m/s)</t>
  </si>
  <si>
    <t>W(m/s</t>
  </si>
  <si>
    <t>)    Mag.</t>
  </si>
  <si>
    <t>DELTA</t>
  </si>
  <si>
    <t>Y</t>
  </si>
  <si>
    <t>Combine</t>
  </si>
  <si>
    <t>U_sim</t>
  </si>
  <si>
    <t>U_exp</t>
  </si>
  <si>
    <t>Y (cm)</t>
  </si>
  <si>
    <t>P2-P3</t>
  </si>
  <si>
    <t>ref  Uref</t>
  </si>
  <si>
    <t>Y(cm)</t>
  </si>
  <si>
    <t>T(C)</t>
  </si>
  <si>
    <t>X-direction (simulation)</t>
  </si>
  <si>
    <t>X-direction (experiment)</t>
  </si>
  <si>
    <t>Z-direction (simulation)</t>
  </si>
  <si>
    <t>Z-direction (experiment)</t>
  </si>
  <si>
    <t># Z(cm)</t>
  </si>
  <si>
    <t>Cp</t>
  </si>
  <si>
    <t>Position[Z] (m)</t>
  </si>
  <si>
    <t>Wall Static Cp</t>
  </si>
  <si>
    <t>Cp (Simulation)</t>
  </si>
  <si>
    <t>Cp (Experiment)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</si>
</sst>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"/>
    <numFmt numFmtId="165" formatCode="0.000"/>
    <numFmt numFmtId="166" formatCode="0.0000"/>
  </numFmts>
  <fonts count="3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  <xf numFmtId="0" fontId="0" fillId="2" borderId="0" xfId="0" applyFill="1"/>
    <xf numFmtId="164" fontId="0" fillId="0" borderId="0" xfId="0" applyNumberFormat="1"/>
    <xf numFmtId="165" fontId="0" fillId="0" borderId="0" xfId="0" applyNumberFormat="1"/>
    <xf numFmtId="2" fontId="0" fillId="0" borderId="0" xfId="0" applyNumberFormat="1"/>
    <xf numFmtId="2" fontId="0" fillId="2" borderId="0" xfId="0" applyNumberFormat="1" applyFill="1"/>
    <xf numFmtId="165" fontId="0" fillId="2" borderId="0" xfId="0" applyNumberFormat="1" applyFill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005966235169892"/>
          <c:y val="4.2481309896138214E-2"/>
          <c:w val="0.86828307581814368"/>
          <c:h val="0.78603590385296662"/>
        </c:manualLayout>
      </c:layout>
      <c:scatterChart>
        <c:scatterStyle val="lineMarker"/>
        <c:varyColors val="0"/>
        <c:ser>
          <c:idx val="0"/>
          <c:order val="0"/>
          <c:tx>
            <c:strRef>
              <c:f>'S2'!$X$2</c:f>
              <c:strCache>
                <c:ptCount val="1"/>
                <c:pt idx="0">
                  <c:v>X-direction (simulation)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'S2'!$W$3:$W$27</c:f>
              <c:numCache>
                <c:formatCode>General</c:formatCode>
                <c:ptCount val="25"/>
                <c:pt idx="0">
                  <c:v>5.5000000000000003E-4</c:v>
                </c:pt>
                <c:pt idx="1">
                  <c:v>6.4999999999999997E-4</c:v>
                </c:pt>
                <c:pt idx="2">
                  <c:v>7.6999999999999996E-4</c:v>
                </c:pt>
                <c:pt idx="3">
                  <c:v>9.2000000000000003E-4</c:v>
                </c:pt>
                <c:pt idx="4">
                  <c:v>1.1200000000000001E-3</c:v>
                </c:pt>
                <c:pt idx="5">
                  <c:v>1.3500000000000001E-3</c:v>
                </c:pt>
                <c:pt idx="6">
                  <c:v>1.65E-3</c:v>
                </c:pt>
                <c:pt idx="7">
                  <c:v>2.0100000000000001E-3</c:v>
                </c:pt>
                <c:pt idx="8">
                  <c:v>2.47E-3</c:v>
                </c:pt>
                <c:pt idx="9">
                  <c:v>2.8899999999999998E-3</c:v>
                </c:pt>
                <c:pt idx="10">
                  <c:v>3.5899999999999999E-3</c:v>
                </c:pt>
                <c:pt idx="11">
                  <c:v>4.47E-3</c:v>
                </c:pt>
                <c:pt idx="12">
                  <c:v>5.5500000000000002E-3</c:v>
                </c:pt>
                <c:pt idx="13">
                  <c:v>6.9099999999999995E-3</c:v>
                </c:pt>
                <c:pt idx="14">
                  <c:v>8.5900000000000004E-3</c:v>
                </c:pt>
                <c:pt idx="15">
                  <c:v>1.068E-2</c:v>
                </c:pt>
                <c:pt idx="16">
                  <c:v>1.328E-2</c:v>
                </c:pt>
                <c:pt idx="17">
                  <c:v>1.651E-2</c:v>
                </c:pt>
                <c:pt idx="18">
                  <c:v>2.053E-2</c:v>
                </c:pt>
                <c:pt idx="19">
                  <c:v>2.5530000000000001E-2</c:v>
                </c:pt>
                <c:pt idx="20">
                  <c:v>3.175E-2</c:v>
                </c:pt>
                <c:pt idx="21">
                  <c:v>3.9480000000000001E-2</c:v>
                </c:pt>
                <c:pt idx="22">
                  <c:v>4.9089999999999995E-2</c:v>
                </c:pt>
                <c:pt idx="23">
                  <c:v>5.9089999999999997E-2</c:v>
                </c:pt>
                <c:pt idx="24">
                  <c:v>5.9299999999999999E-2</c:v>
                </c:pt>
              </c:numCache>
            </c:numRef>
          </c:xVal>
          <c:yVal>
            <c:numRef>
              <c:f>'S2'!$X$3:$X$27</c:f>
              <c:numCache>
                <c:formatCode>General</c:formatCode>
                <c:ptCount val="25"/>
                <c:pt idx="0">
                  <c:v>11.0100721465805</c:v>
                </c:pt>
                <c:pt idx="1">
                  <c:v>11.274768545510822</c:v>
                </c:pt>
                <c:pt idx="2">
                  <c:v>11.832024122206228</c:v>
                </c:pt>
                <c:pt idx="3">
                  <c:v>12.528593593075485</c:v>
                </c:pt>
                <c:pt idx="4">
                  <c:v>13.457352887567827</c:v>
                </c:pt>
                <c:pt idx="5">
                  <c:v>13.763843454750299</c:v>
                </c:pt>
                <c:pt idx="6">
                  <c:v>13.763843454750299</c:v>
                </c:pt>
                <c:pt idx="7">
                  <c:v>14.488146256522104</c:v>
                </c:pt>
                <c:pt idx="8">
                  <c:v>15.6232008636277</c:v>
                </c:pt>
                <c:pt idx="9">
                  <c:v>15.6232008636277</c:v>
                </c:pt>
                <c:pt idx="10">
                  <c:v>15.669961017902359</c:v>
                </c:pt>
                <c:pt idx="11">
                  <c:v>16.489724972529999</c:v>
                </c:pt>
                <c:pt idx="12">
                  <c:v>16.527894638183064</c:v>
                </c:pt>
                <c:pt idx="13">
                  <c:v>16.595990755310599</c:v>
                </c:pt>
                <c:pt idx="14">
                  <c:v>16.5531618887204</c:v>
                </c:pt>
                <c:pt idx="15">
                  <c:v>16.525799875083344</c:v>
                </c:pt>
                <c:pt idx="16">
                  <c:v>16.493980262774983</c:v>
                </c:pt>
                <c:pt idx="17" formatCode="0.00000">
                  <c:v>16.4741811869951</c:v>
                </c:pt>
                <c:pt idx="18" formatCode="0.00000">
                  <c:v>16.4741811869951</c:v>
                </c:pt>
                <c:pt idx="19" formatCode="0.00000">
                  <c:v>16.487894617691001</c:v>
                </c:pt>
                <c:pt idx="20" formatCode="0.00000">
                  <c:v>16.487894617691001</c:v>
                </c:pt>
                <c:pt idx="21" formatCode="0.00000">
                  <c:v>16.487894617691001</c:v>
                </c:pt>
                <c:pt idx="22" formatCode="0.00000">
                  <c:v>16.453216083836001</c:v>
                </c:pt>
                <c:pt idx="23" formatCode="0.00000">
                  <c:v>16.453216083836001</c:v>
                </c:pt>
                <c:pt idx="24">
                  <c:v>16.453216083836001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1F8-4DE2-9AFE-FAC1C6DF3377}"/>
            </c:ext>
          </c:extLst>
        </c:ser>
        <c:ser>
          <c:idx val="1"/>
          <c:order val="1"/>
          <c:tx>
            <c:strRef>
              <c:f>'S2'!$Y$2</c:f>
              <c:strCache>
                <c:ptCount val="1"/>
                <c:pt idx="0">
                  <c:v>X-direction (experiment)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'S2'!$W$3:$W$27</c:f>
              <c:numCache>
                <c:formatCode>General</c:formatCode>
                <c:ptCount val="25"/>
                <c:pt idx="0">
                  <c:v>5.5000000000000003E-4</c:v>
                </c:pt>
                <c:pt idx="1">
                  <c:v>6.4999999999999997E-4</c:v>
                </c:pt>
                <c:pt idx="2">
                  <c:v>7.6999999999999996E-4</c:v>
                </c:pt>
                <c:pt idx="3">
                  <c:v>9.2000000000000003E-4</c:v>
                </c:pt>
                <c:pt idx="4">
                  <c:v>1.1200000000000001E-3</c:v>
                </c:pt>
                <c:pt idx="5">
                  <c:v>1.3500000000000001E-3</c:v>
                </c:pt>
                <c:pt idx="6">
                  <c:v>1.65E-3</c:v>
                </c:pt>
                <c:pt idx="7">
                  <c:v>2.0100000000000001E-3</c:v>
                </c:pt>
                <c:pt idx="8">
                  <c:v>2.47E-3</c:v>
                </c:pt>
                <c:pt idx="9">
                  <c:v>2.8899999999999998E-3</c:v>
                </c:pt>
                <c:pt idx="10">
                  <c:v>3.5899999999999999E-3</c:v>
                </c:pt>
                <c:pt idx="11">
                  <c:v>4.47E-3</c:v>
                </c:pt>
                <c:pt idx="12">
                  <c:v>5.5500000000000002E-3</c:v>
                </c:pt>
                <c:pt idx="13">
                  <c:v>6.9099999999999995E-3</c:v>
                </c:pt>
                <c:pt idx="14">
                  <c:v>8.5900000000000004E-3</c:v>
                </c:pt>
                <c:pt idx="15">
                  <c:v>1.068E-2</c:v>
                </c:pt>
                <c:pt idx="16">
                  <c:v>1.328E-2</c:v>
                </c:pt>
                <c:pt idx="17">
                  <c:v>1.651E-2</c:v>
                </c:pt>
                <c:pt idx="18">
                  <c:v>2.053E-2</c:v>
                </c:pt>
                <c:pt idx="19">
                  <c:v>2.5530000000000001E-2</c:v>
                </c:pt>
                <c:pt idx="20">
                  <c:v>3.175E-2</c:v>
                </c:pt>
                <c:pt idx="21">
                  <c:v>3.9480000000000001E-2</c:v>
                </c:pt>
                <c:pt idx="22">
                  <c:v>4.9089999999999995E-2</c:v>
                </c:pt>
                <c:pt idx="23">
                  <c:v>5.9089999999999997E-2</c:v>
                </c:pt>
                <c:pt idx="24">
                  <c:v>5.9299999999999999E-2</c:v>
                </c:pt>
              </c:numCache>
            </c:numRef>
          </c:xVal>
          <c:yVal>
            <c:numRef>
              <c:f>'S2'!$Y$3:$Y$27</c:f>
              <c:numCache>
                <c:formatCode>General</c:formatCode>
                <c:ptCount val="25"/>
                <c:pt idx="0">
                  <c:v>6.8776700000000002</c:v>
                </c:pt>
                <c:pt idx="1">
                  <c:v>7.22112</c:v>
                </c:pt>
                <c:pt idx="2">
                  <c:v>7.6645700000000003</c:v>
                </c:pt>
                <c:pt idx="3">
                  <c:v>7.9711400000000001</c:v>
                </c:pt>
                <c:pt idx="4">
                  <c:v>8.3943499999999993</c:v>
                </c:pt>
                <c:pt idx="5">
                  <c:v>8.6412800000000001</c:v>
                </c:pt>
                <c:pt idx="6">
                  <c:v>8.8538999999999994</c:v>
                </c:pt>
                <c:pt idx="7">
                  <c:v>9.1994100000000003</c:v>
                </c:pt>
                <c:pt idx="8">
                  <c:v>9.5120199999999997</c:v>
                </c:pt>
                <c:pt idx="9">
                  <c:v>9.8338300000000007</c:v>
                </c:pt>
                <c:pt idx="10">
                  <c:v>10.271929999999999</c:v>
                </c:pt>
                <c:pt idx="11">
                  <c:v>10.685510000000001</c:v>
                </c:pt>
                <c:pt idx="12">
                  <c:v>11.12426</c:v>
                </c:pt>
                <c:pt idx="13">
                  <c:v>11.57634</c:v>
                </c:pt>
                <c:pt idx="14">
                  <c:v>12.071730000000001</c:v>
                </c:pt>
                <c:pt idx="15">
                  <c:v>12.59051</c:v>
                </c:pt>
                <c:pt idx="16">
                  <c:v>13.18648</c:v>
                </c:pt>
                <c:pt idx="17">
                  <c:v>13.80655</c:v>
                </c:pt>
                <c:pt idx="18">
                  <c:v>14.506830000000001</c:v>
                </c:pt>
                <c:pt idx="19">
                  <c:v>15.149279999999999</c:v>
                </c:pt>
                <c:pt idx="20">
                  <c:v>15.739409999999999</c:v>
                </c:pt>
                <c:pt idx="21">
                  <c:v>15.99404</c:v>
                </c:pt>
                <c:pt idx="22">
                  <c:v>16.015270000000001</c:v>
                </c:pt>
                <c:pt idx="23">
                  <c:v>16.019659999999998</c:v>
                </c:pt>
                <c:pt idx="24">
                  <c:v>16.02187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1F8-4DE2-9AFE-FAC1C6DF3377}"/>
            </c:ext>
          </c:extLst>
        </c:ser>
        <c:ser>
          <c:idx val="2"/>
          <c:order val="2"/>
          <c:tx>
            <c:strRef>
              <c:f>'S2'!$Z$2</c:f>
              <c:strCache>
                <c:ptCount val="1"/>
                <c:pt idx="0">
                  <c:v>Z-direction (simulation)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'S2'!$W$3:$W$27</c:f>
              <c:numCache>
                <c:formatCode>General</c:formatCode>
                <c:ptCount val="25"/>
                <c:pt idx="0">
                  <c:v>5.5000000000000003E-4</c:v>
                </c:pt>
                <c:pt idx="1">
                  <c:v>6.4999999999999997E-4</c:v>
                </c:pt>
                <c:pt idx="2">
                  <c:v>7.6999999999999996E-4</c:v>
                </c:pt>
                <c:pt idx="3">
                  <c:v>9.2000000000000003E-4</c:v>
                </c:pt>
                <c:pt idx="4">
                  <c:v>1.1200000000000001E-3</c:v>
                </c:pt>
                <c:pt idx="5">
                  <c:v>1.3500000000000001E-3</c:v>
                </c:pt>
                <c:pt idx="6">
                  <c:v>1.65E-3</c:v>
                </c:pt>
                <c:pt idx="7">
                  <c:v>2.0100000000000001E-3</c:v>
                </c:pt>
                <c:pt idx="8">
                  <c:v>2.47E-3</c:v>
                </c:pt>
                <c:pt idx="9">
                  <c:v>2.8899999999999998E-3</c:v>
                </c:pt>
                <c:pt idx="10">
                  <c:v>3.5899999999999999E-3</c:v>
                </c:pt>
                <c:pt idx="11">
                  <c:v>4.47E-3</c:v>
                </c:pt>
                <c:pt idx="12">
                  <c:v>5.5500000000000002E-3</c:v>
                </c:pt>
                <c:pt idx="13">
                  <c:v>6.9099999999999995E-3</c:v>
                </c:pt>
                <c:pt idx="14">
                  <c:v>8.5900000000000004E-3</c:v>
                </c:pt>
                <c:pt idx="15">
                  <c:v>1.068E-2</c:v>
                </c:pt>
                <c:pt idx="16">
                  <c:v>1.328E-2</c:v>
                </c:pt>
                <c:pt idx="17">
                  <c:v>1.651E-2</c:v>
                </c:pt>
                <c:pt idx="18">
                  <c:v>2.053E-2</c:v>
                </c:pt>
                <c:pt idx="19">
                  <c:v>2.5530000000000001E-2</c:v>
                </c:pt>
                <c:pt idx="20">
                  <c:v>3.175E-2</c:v>
                </c:pt>
                <c:pt idx="21">
                  <c:v>3.9480000000000001E-2</c:v>
                </c:pt>
                <c:pt idx="22">
                  <c:v>4.9089999999999995E-2</c:v>
                </c:pt>
                <c:pt idx="23">
                  <c:v>5.9089999999999997E-2</c:v>
                </c:pt>
                <c:pt idx="24">
                  <c:v>5.9299999999999999E-2</c:v>
                </c:pt>
              </c:numCache>
            </c:numRef>
          </c:xVal>
          <c:yVal>
            <c:numRef>
              <c:f>'S2'!$Z$3:$Z$27</c:f>
              <c:numCache>
                <c:formatCode>0.00000</c:formatCode>
                <c:ptCount val="25"/>
                <c:pt idx="0">
                  <c:v>8.4624621173145301E-3</c:v>
                </c:pt>
                <c:pt idx="1">
                  <c:v>9.7712414295696073E-3</c:v>
                </c:pt>
                <c:pt idx="2">
                  <c:v>1.2526566297474985E-2</c:v>
                </c:pt>
                <c:pt idx="3">
                  <c:v>1.5970722382356708E-2</c:v>
                </c:pt>
                <c:pt idx="4">
                  <c:v>2.0562930495532344E-2</c:v>
                </c:pt>
                <c:pt idx="5">
                  <c:v>2.2078359172880299E-2</c:v>
                </c:pt>
                <c:pt idx="6">
                  <c:v>2.2078359172880299E-2</c:v>
                </c:pt>
                <c:pt idx="7">
                  <c:v>3.0159340085983664E-2</c:v>
                </c:pt>
                <c:pt idx="8">
                  <c:v>4.2823041776647801E-2</c:v>
                </c:pt>
                <c:pt idx="9">
                  <c:v>4.2823041776647801E-2</c:v>
                </c:pt>
                <c:pt idx="10">
                  <c:v>4.3498648809137737E-2</c:v>
                </c:pt>
                <c:pt idx="11">
                  <c:v>5.5342884597477E-2</c:v>
                </c:pt>
                <c:pt idx="12">
                  <c:v>5.5349292934515966E-2</c:v>
                </c:pt>
                <c:pt idx="13">
                  <c:v>5.5360725648482198E-2</c:v>
                </c:pt>
                <c:pt idx="14">
                  <c:v>5.4091175598211E-2</c:v>
                </c:pt>
                <c:pt idx="15">
                  <c:v>5.2160395725679064E-2</c:v>
                </c:pt>
                <c:pt idx="16">
                  <c:v>4.7729898097909333E-2</c:v>
                </c:pt>
                <c:pt idx="17">
                  <c:v>4.4068541012894598E-2</c:v>
                </c:pt>
                <c:pt idx="18">
                  <c:v>4.4068541012894598E-2</c:v>
                </c:pt>
                <c:pt idx="19">
                  <c:v>2.7894666011148501E-2</c:v>
                </c:pt>
                <c:pt idx="20">
                  <c:v>2.7894666011148501E-2</c:v>
                </c:pt>
                <c:pt idx="21">
                  <c:v>2.7894666011148501E-2</c:v>
                </c:pt>
                <c:pt idx="22">
                  <c:v>7.5151896097754101E-3</c:v>
                </c:pt>
                <c:pt idx="23">
                  <c:v>7.5151896097754101E-3</c:v>
                </c:pt>
                <c:pt idx="24">
                  <c:v>7.5151896097754101E-3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1F8-4DE2-9AFE-FAC1C6DF3377}"/>
            </c:ext>
          </c:extLst>
        </c:ser>
        <c:ser>
          <c:idx val="3"/>
          <c:order val="3"/>
          <c:tx>
            <c:strRef>
              <c:f>'S2'!$AA$2</c:f>
              <c:strCache>
                <c:ptCount val="1"/>
                <c:pt idx="0">
                  <c:v>Z-direction (experiment)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'S2'!$W$3:$W$27</c:f>
              <c:numCache>
                <c:formatCode>General</c:formatCode>
                <c:ptCount val="25"/>
                <c:pt idx="0">
                  <c:v>5.5000000000000003E-4</c:v>
                </c:pt>
                <c:pt idx="1">
                  <c:v>6.4999999999999997E-4</c:v>
                </c:pt>
                <c:pt idx="2">
                  <c:v>7.6999999999999996E-4</c:v>
                </c:pt>
                <c:pt idx="3">
                  <c:v>9.2000000000000003E-4</c:v>
                </c:pt>
                <c:pt idx="4">
                  <c:v>1.1200000000000001E-3</c:v>
                </c:pt>
                <c:pt idx="5">
                  <c:v>1.3500000000000001E-3</c:v>
                </c:pt>
                <c:pt idx="6">
                  <c:v>1.65E-3</c:v>
                </c:pt>
                <c:pt idx="7">
                  <c:v>2.0100000000000001E-3</c:v>
                </c:pt>
                <c:pt idx="8">
                  <c:v>2.47E-3</c:v>
                </c:pt>
                <c:pt idx="9">
                  <c:v>2.8899999999999998E-3</c:v>
                </c:pt>
                <c:pt idx="10">
                  <c:v>3.5899999999999999E-3</c:v>
                </c:pt>
                <c:pt idx="11">
                  <c:v>4.47E-3</c:v>
                </c:pt>
                <c:pt idx="12">
                  <c:v>5.5500000000000002E-3</c:v>
                </c:pt>
                <c:pt idx="13">
                  <c:v>6.9099999999999995E-3</c:v>
                </c:pt>
                <c:pt idx="14">
                  <c:v>8.5900000000000004E-3</c:v>
                </c:pt>
                <c:pt idx="15">
                  <c:v>1.068E-2</c:v>
                </c:pt>
                <c:pt idx="16">
                  <c:v>1.328E-2</c:v>
                </c:pt>
                <c:pt idx="17">
                  <c:v>1.651E-2</c:v>
                </c:pt>
                <c:pt idx="18">
                  <c:v>2.053E-2</c:v>
                </c:pt>
                <c:pt idx="19">
                  <c:v>2.5530000000000001E-2</c:v>
                </c:pt>
                <c:pt idx="20">
                  <c:v>3.175E-2</c:v>
                </c:pt>
                <c:pt idx="21">
                  <c:v>3.9480000000000001E-2</c:v>
                </c:pt>
                <c:pt idx="22">
                  <c:v>4.9089999999999995E-2</c:v>
                </c:pt>
                <c:pt idx="23">
                  <c:v>5.9089999999999997E-2</c:v>
                </c:pt>
                <c:pt idx="24">
                  <c:v>5.9299999999999999E-2</c:v>
                </c:pt>
              </c:numCache>
            </c:numRef>
          </c:xVal>
          <c:yVal>
            <c:numRef>
              <c:f>'S2'!$AA$3:$AA$27</c:f>
              <c:numCache>
                <c:formatCode>General</c:formatCode>
                <c:ptCount val="25"/>
                <c:pt idx="0">
                  <c:v>1.7459</c:v>
                </c:pt>
                <c:pt idx="1">
                  <c:v>1.78478</c:v>
                </c:pt>
                <c:pt idx="2">
                  <c:v>1.84615</c:v>
                </c:pt>
                <c:pt idx="3">
                  <c:v>1.9071199999999999</c:v>
                </c:pt>
                <c:pt idx="4">
                  <c:v>1.9297899999999999</c:v>
                </c:pt>
                <c:pt idx="5">
                  <c:v>1.9468000000000001</c:v>
                </c:pt>
                <c:pt idx="6">
                  <c:v>1.94425</c:v>
                </c:pt>
                <c:pt idx="7">
                  <c:v>1.92991</c:v>
                </c:pt>
                <c:pt idx="8">
                  <c:v>1.9296199999999999</c:v>
                </c:pt>
                <c:pt idx="9">
                  <c:v>1.91371</c:v>
                </c:pt>
                <c:pt idx="10">
                  <c:v>1.9131</c:v>
                </c:pt>
                <c:pt idx="11">
                  <c:v>1.8894</c:v>
                </c:pt>
                <c:pt idx="12">
                  <c:v>1.8388</c:v>
                </c:pt>
                <c:pt idx="13">
                  <c:v>1.7895099999999999</c:v>
                </c:pt>
                <c:pt idx="14">
                  <c:v>1.7411300000000001</c:v>
                </c:pt>
                <c:pt idx="15">
                  <c:v>1.68469</c:v>
                </c:pt>
                <c:pt idx="16">
                  <c:v>1.62018</c:v>
                </c:pt>
                <c:pt idx="17">
                  <c:v>1.5459499999999999</c:v>
                </c:pt>
                <c:pt idx="18">
                  <c:v>1.4796</c:v>
                </c:pt>
                <c:pt idx="19">
                  <c:v>1.38706</c:v>
                </c:pt>
                <c:pt idx="20">
                  <c:v>1.3078000000000001</c:v>
                </c:pt>
                <c:pt idx="21">
                  <c:v>1.2841800000000001</c:v>
                </c:pt>
                <c:pt idx="22">
                  <c:v>1.2742899999999999</c:v>
                </c:pt>
                <c:pt idx="23">
                  <c:v>1.25743</c:v>
                </c:pt>
                <c:pt idx="24">
                  <c:v>1.25969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1F8-4DE2-9AFE-FAC1C6DF33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44478464"/>
        <c:axId val="944474624"/>
      </c:scatterChart>
      <c:valAx>
        <c:axId val="944478464"/>
        <c:scaling>
          <c:orientation val="minMax"/>
          <c:max val="6.0000000000000012E-2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ID">
                    <a:solidFill>
                      <a:schemeClr val="tx1"/>
                    </a:solidFill>
                  </a:rPr>
                  <a:t>Y-position (m)</a:t>
                </a:r>
              </a:p>
            </c:rich>
          </c:tx>
          <c:layout>
            <c:manualLayout>
              <c:xMode val="edge"/>
              <c:yMode val="edge"/>
              <c:x val="0.4570261335338327"/>
              <c:y val="0.9211264693226861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944474624"/>
        <c:crosses val="autoZero"/>
        <c:crossBetween val="midCat"/>
      </c:valAx>
      <c:valAx>
        <c:axId val="94447462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ID">
                    <a:solidFill>
                      <a:schemeClr val="tx1"/>
                    </a:solidFill>
                  </a:rPr>
                  <a:t>Velocity (m/s)</a:t>
                </a:r>
              </a:p>
            </c:rich>
          </c:tx>
          <c:layout>
            <c:manualLayout>
              <c:xMode val="edge"/>
              <c:yMode val="edge"/>
              <c:x val="1.4789866693412384E-2"/>
              <c:y val="0.3069738376557128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9444784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7508899555223889"/>
          <c:y val="0.33103918041784947"/>
          <c:w val="0.28063047882430131"/>
          <c:h val="0.24638429924844268"/>
        </c:manualLayout>
      </c:layout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005966235169892"/>
          <c:y val="4.2481309896138214E-2"/>
          <c:w val="0.86828307581814368"/>
          <c:h val="0.78603590385296662"/>
        </c:manualLayout>
      </c:layout>
      <c:scatterChart>
        <c:scatterStyle val="lineMarker"/>
        <c:varyColors val="0"/>
        <c:ser>
          <c:idx val="0"/>
          <c:order val="0"/>
          <c:tx>
            <c:strRef>
              <c:f>'S2'!$AB$2</c:f>
              <c:strCache>
                <c:ptCount val="1"/>
                <c:pt idx="0">
                  <c:v>Simulation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'S2'!$W$3:$W$25</c:f>
              <c:numCache>
                <c:formatCode>General</c:formatCode>
                <c:ptCount val="23"/>
                <c:pt idx="0">
                  <c:v>5.5000000000000003E-4</c:v>
                </c:pt>
                <c:pt idx="1">
                  <c:v>6.4999999999999997E-4</c:v>
                </c:pt>
                <c:pt idx="2">
                  <c:v>7.6999999999999996E-4</c:v>
                </c:pt>
                <c:pt idx="3">
                  <c:v>9.2000000000000003E-4</c:v>
                </c:pt>
                <c:pt idx="4">
                  <c:v>1.1200000000000001E-3</c:v>
                </c:pt>
                <c:pt idx="5">
                  <c:v>1.3500000000000001E-3</c:v>
                </c:pt>
                <c:pt idx="6">
                  <c:v>1.65E-3</c:v>
                </c:pt>
                <c:pt idx="7">
                  <c:v>2.0100000000000001E-3</c:v>
                </c:pt>
                <c:pt idx="8">
                  <c:v>2.47E-3</c:v>
                </c:pt>
                <c:pt idx="9">
                  <c:v>2.8899999999999998E-3</c:v>
                </c:pt>
                <c:pt idx="10">
                  <c:v>3.5899999999999999E-3</c:v>
                </c:pt>
                <c:pt idx="11">
                  <c:v>4.47E-3</c:v>
                </c:pt>
                <c:pt idx="12">
                  <c:v>5.5500000000000002E-3</c:v>
                </c:pt>
                <c:pt idx="13">
                  <c:v>6.9099999999999995E-3</c:v>
                </c:pt>
                <c:pt idx="14">
                  <c:v>8.5900000000000004E-3</c:v>
                </c:pt>
                <c:pt idx="15">
                  <c:v>1.068E-2</c:v>
                </c:pt>
                <c:pt idx="16">
                  <c:v>1.328E-2</c:v>
                </c:pt>
                <c:pt idx="17">
                  <c:v>1.651E-2</c:v>
                </c:pt>
                <c:pt idx="18">
                  <c:v>2.053E-2</c:v>
                </c:pt>
                <c:pt idx="19">
                  <c:v>2.5530000000000001E-2</c:v>
                </c:pt>
                <c:pt idx="20">
                  <c:v>3.175E-2</c:v>
                </c:pt>
                <c:pt idx="21">
                  <c:v>3.9480000000000001E-2</c:v>
                </c:pt>
                <c:pt idx="22">
                  <c:v>4.9089999999999995E-2</c:v>
                </c:pt>
              </c:numCache>
            </c:numRef>
          </c:xVal>
          <c:yVal>
            <c:numRef>
              <c:f>'S2'!$AB$3:$AB$25</c:f>
              <c:numCache>
                <c:formatCode>General</c:formatCode>
                <c:ptCount val="23"/>
                <c:pt idx="0">
                  <c:v>302.19752795384198</c:v>
                </c:pt>
                <c:pt idx="1">
                  <c:v>302.06204907944607</c:v>
                </c:pt>
                <c:pt idx="2">
                  <c:v>301.77683039650731</c:v>
                </c:pt>
                <c:pt idx="3">
                  <c:v>301.42030704283388</c:v>
                </c:pt>
                <c:pt idx="4">
                  <c:v>300.94494257126934</c:v>
                </c:pt>
                <c:pt idx="5">
                  <c:v>300.78807229565302</c:v>
                </c:pt>
                <c:pt idx="6">
                  <c:v>300.78807229565302</c:v>
                </c:pt>
                <c:pt idx="7">
                  <c:v>300.55393774842503</c:v>
                </c:pt>
                <c:pt idx="8">
                  <c:v>300.18702560082102</c:v>
                </c:pt>
                <c:pt idx="9">
                  <c:v>300.18702560082102</c:v>
                </c:pt>
                <c:pt idx="10">
                  <c:v>300.17771480179647</c:v>
                </c:pt>
                <c:pt idx="11">
                  <c:v>300.01448485639702</c:v>
                </c:pt>
                <c:pt idx="12">
                  <c:v>300.00817475067151</c:v>
                </c:pt>
                <c:pt idx="13">
                  <c:v>299.99691728505798</c:v>
                </c:pt>
                <c:pt idx="14">
                  <c:v>299.996918108839</c:v>
                </c:pt>
                <c:pt idx="15">
                  <c:v>299.99735246129012</c:v>
                </c:pt>
                <c:pt idx="16">
                  <c:v>299.99794407840528</c:v>
                </c:pt>
                <c:pt idx="17">
                  <c:v>299.998229161214</c:v>
                </c:pt>
                <c:pt idx="18">
                  <c:v>299.998229161214</c:v>
                </c:pt>
                <c:pt idx="19">
                  <c:v>299.998053827658</c:v>
                </c:pt>
                <c:pt idx="20">
                  <c:v>299.998053827658</c:v>
                </c:pt>
                <c:pt idx="21">
                  <c:v>299.998053827658</c:v>
                </c:pt>
                <c:pt idx="22">
                  <c:v>299.99854856652797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20E-4780-BD52-0E1F6929753A}"/>
            </c:ext>
          </c:extLst>
        </c:ser>
        <c:ser>
          <c:idx val="1"/>
          <c:order val="1"/>
          <c:tx>
            <c:strRef>
              <c:f>'S2'!$AC$2</c:f>
              <c:strCache>
                <c:ptCount val="1"/>
                <c:pt idx="0">
                  <c:v>Experiment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'S2'!$W$3:$W$25</c:f>
              <c:numCache>
                <c:formatCode>General</c:formatCode>
                <c:ptCount val="23"/>
                <c:pt idx="0">
                  <c:v>5.5000000000000003E-4</c:v>
                </c:pt>
                <c:pt idx="1">
                  <c:v>6.4999999999999997E-4</c:v>
                </c:pt>
                <c:pt idx="2">
                  <c:v>7.6999999999999996E-4</c:v>
                </c:pt>
                <c:pt idx="3">
                  <c:v>9.2000000000000003E-4</c:v>
                </c:pt>
                <c:pt idx="4">
                  <c:v>1.1200000000000001E-3</c:v>
                </c:pt>
                <c:pt idx="5">
                  <c:v>1.3500000000000001E-3</c:v>
                </c:pt>
                <c:pt idx="6">
                  <c:v>1.65E-3</c:v>
                </c:pt>
                <c:pt idx="7">
                  <c:v>2.0100000000000001E-3</c:v>
                </c:pt>
                <c:pt idx="8">
                  <c:v>2.47E-3</c:v>
                </c:pt>
                <c:pt idx="9">
                  <c:v>2.8899999999999998E-3</c:v>
                </c:pt>
                <c:pt idx="10">
                  <c:v>3.5899999999999999E-3</c:v>
                </c:pt>
                <c:pt idx="11">
                  <c:v>4.47E-3</c:v>
                </c:pt>
                <c:pt idx="12">
                  <c:v>5.5500000000000002E-3</c:v>
                </c:pt>
                <c:pt idx="13">
                  <c:v>6.9099999999999995E-3</c:v>
                </c:pt>
                <c:pt idx="14">
                  <c:v>8.5900000000000004E-3</c:v>
                </c:pt>
                <c:pt idx="15">
                  <c:v>1.068E-2</c:v>
                </c:pt>
                <c:pt idx="16">
                  <c:v>1.328E-2</c:v>
                </c:pt>
                <c:pt idx="17">
                  <c:v>1.651E-2</c:v>
                </c:pt>
                <c:pt idx="18">
                  <c:v>2.053E-2</c:v>
                </c:pt>
                <c:pt idx="19">
                  <c:v>2.5530000000000001E-2</c:v>
                </c:pt>
                <c:pt idx="20">
                  <c:v>3.175E-2</c:v>
                </c:pt>
                <c:pt idx="21">
                  <c:v>3.9480000000000001E-2</c:v>
                </c:pt>
                <c:pt idx="22">
                  <c:v>4.9089999999999995E-2</c:v>
                </c:pt>
              </c:numCache>
            </c:numRef>
          </c:xVal>
          <c:yVal>
            <c:numRef>
              <c:f>'S2'!$AC$3:$AC$25</c:f>
              <c:numCache>
                <c:formatCode>General</c:formatCode>
                <c:ptCount val="23"/>
                <c:pt idx="0">
                  <c:v>310.51956923076921</c:v>
                </c:pt>
                <c:pt idx="1">
                  <c:v>309.77426153846153</c:v>
                </c:pt>
                <c:pt idx="2">
                  <c:v>309.19482499999998</c:v>
                </c:pt>
                <c:pt idx="3">
                  <c:v>308.64279499999998</c:v>
                </c:pt>
                <c:pt idx="4">
                  <c:v>308.10527500000001</c:v>
                </c:pt>
                <c:pt idx="5">
                  <c:v>307.71051333333332</c:v>
                </c:pt>
                <c:pt idx="6">
                  <c:v>307.35752105263157</c:v>
                </c:pt>
                <c:pt idx="7">
                  <c:v>306.97041739130435</c:v>
                </c:pt>
                <c:pt idx="8">
                  <c:v>306.47856842105261</c:v>
                </c:pt>
                <c:pt idx="9">
                  <c:v>306.19414736842106</c:v>
                </c:pt>
                <c:pt idx="10">
                  <c:v>305.81728873239439</c:v>
                </c:pt>
                <c:pt idx="11">
                  <c:v>305.35210000000001</c:v>
                </c:pt>
                <c:pt idx="12">
                  <c:v>304.88621666666666</c:v>
                </c:pt>
                <c:pt idx="13">
                  <c:v>304.49051492537313</c:v>
                </c:pt>
                <c:pt idx="14">
                  <c:v>304.07366666666667</c:v>
                </c:pt>
                <c:pt idx="15">
                  <c:v>303.65309999999999</c:v>
                </c:pt>
                <c:pt idx="16">
                  <c:v>303.14051625344354</c:v>
                </c:pt>
                <c:pt idx="17">
                  <c:v>302.72305999999998</c:v>
                </c:pt>
                <c:pt idx="18">
                  <c:v>302.2099382045929</c:v>
                </c:pt>
                <c:pt idx="19">
                  <c:v>301.71284600000001</c:v>
                </c:pt>
                <c:pt idx="20">
                  <c:v>301.318715</c:v>
                </c:pt>
                <c:pt idx="21">
                  <c:v>301.064976</c:v>
                </c:pt>
                <c:pt idx="22">
                  <c:v>301.03448350000002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20E-4780-BD52-0E1F692975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44478464"/>
        <c:axId val="944474624"/>
      </c:scatterChart>
      <c:valAx>
        <c:axId val="944478464"/>
        <c:scaling>
          <c:orientation val="minMax"/>
          <c:max val="6.0000000000000012E-2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ID">
                    <a:solidFill>
                      <a:schemeClr val="tx1"/>
                    </a:solidFill>
                  </a:rPr>
                  <a:t>Y-position (m)</a:t>
                </a:r>
              </a:p>
            </c:rich>
          </c:tx>
          <c:layout>
            <c:manualLayout>
              <c:xMode val="edge"/>
              <c:yMode val="edge"/>
              <c:x val="0.4570261335338327"/>
              <c:y val="0.9211264693226861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944474624"/>
        <c:crosses val="autoZero"/>
        <c:crossBetween val="midCat"/>
      </c:valAx>
      <c:valAx>
        <c:axId val="94447462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ID">
                    <a:solidFill>
                      <a:schemeClr val="tx1"/>
                    </a:solidFill>
                  </a:rPr>
                  <a:t>Velocity (m/s)</a:t>
                </a:r>
              </a:p>
            </c:rich>
          </c:tx>
          <c:layout>
            <c:manualLayout>
              <c:xMode val="edge"/>
              <c:yMode val="edge"/>
              <c:x val="1.4789866693412384E-2"/>
              <c:y val="0.3069738376557128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9444784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529775942672519"/>
          <c:y val="6.8427446514449555E-2"/>
          <c:w val="0.17819485353038192"/>
          <c:h val="0.1421119931397398"/>
        </c:manualLayout>
      </c:layout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3558617003919681E-2"/>
          <c:y val="4.3667043947425752E-2"/>
          <c:w val="0.87779346921771917"/>
          <c:h val="0.81029980413426028"/>
        </c:manualLayout>
      </c:layout>
      <c:lineChart>
        <c:grouping val="standard"/>
        <c:varyColors val="0"/>
        <c:ser>
          <c:idx val="0"/>
          <c:order val="0"/>
          <c:tx>
            <c:strRef>
              <c:f>'S2'!$AJ$1</c:f>
              <c:strCache>
                <c:ptCount val="1"/>
                <c:pt idx="0">
                  <c:v>Cp (Simulation)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'S2'!$AI$2:$AI$39</c:f>
              <c:numCache>
                <c:formatCode>General</c:formatCode>
                <c:ptCount val="38"/>
                <c:pt idx="0">
                  <c:v>-0.1</c:v>
                </c:pt>
                <c:pt idx="1">
                  <c:v>-0.09</c:v>
                </c:pt>
                <c:pt idx="2">
                  <c:v>-0.08</c:v>
                </c:pt>
                <c:pt idx="3">
                  <c:v>-7.0000000000000007E-2</c:v>
                </c:pt>
                <c:pt idx="4">
                  <c:v>-0.06</c:v>
                </c:pt>
                <c:pt idx="5">
                  <c:v>-0.05</c:v>
                </c:pt>
                <c:pt idx="6">
                  <c:v>-0.04</c:v>
                </c:pt>
                <c:pt idx="7">
                  <c:v>-0.03</c:v>
                </c:pt>
                <c:pt idx="8">
                  <c:v>-0.02</c:v>
                </c:pt>
                <c:pt idx="9">
                  <c:v>-0.01</c:v>
                </c:pt>
                <c:pt idx="10">
                  <c:v>0</c:v>
                </c:pt>
                <c:pt idx="11">
                  <c:v>0.01</c:v>
                </c:pt>
                <c:pt idx="12">
                  <c:v>0.02</c:v>
                </c:pt>
                <c:pt idx="13">
                  <c:v>0.03</c:v>
                </c:pt>
                <c:pt idx="14">
                  <c:v>0.04</c:v>
                </c:pt>
                <c:pt idx="15">
                  <c:v>0.05</c:v>
                </c:pt>
                <c:pt idx="16">
                  <c:v>0.06</c:v>
                </c:pt>
                <c:pt idx="17">
                  <c:v>7.0000000000000007E-2</c:v>
                </c:pt>
                <c:pt idx="18">
                  <c:v>0.08</c:v>
                </c:pt>
                <c:pt idx="19">
                  <c:v>0.09</c:v>
                </c:pt>
                <c:pt idx="20">
                  <c:v>0.1</c:v>
                </c:pt>
                <c:pt idx="21">
                  <c:v>0.11</c:v>
                </c:pt>
                <c:pt idx="22">
                  <c:v>0.12</c:v>
                </c:pt>
                <c:pt idx="23">
                  <c:v>0.13</c:v>
                </c:pt>
                <c:pt idx="24">
                  <c:v>0.14000000000000001</c:v>
                </c:pt>
                <c:pt idx="25">
                  <c:v>0.15</c:v>
                </c:pt>
                <c:pt idx="26">
                  <c:v>0.16</c:v>
                </c:pt>
                <c:pt idx="27">
                  <c:v>0.17</c:v>
                </c:pt>
                <c:pt idx="28">
                  <c:v>0.18</c:v>
                </c:pt>
                <c:pt idx="29">
                  <c:v>0.19</c:v>
                </c:pt>
                <c:pt idx="30">
                  <c:v>0.2</c:v>
                </c:pt>
                <c:pt idx="31">
                  <c:v>0.21</c:v>
                </c:pt>
                <c:pt idx="32">
                  <c:v>0.22</c:v>
                </c:pt>
                <c:pt idx="33" formatCode="0.00">
                  <c:v>0.23</c:v>
                </c:pt>
                <c:pt idx="34" formatCode="0.00">
                  <c:v>0.24</c:v>
                </c:pt>
                <c:pt idx="35">
                  <c:v>0.25</c:v>
                </c:pt>
                <c:pt idx="36">
                  <c:v>0.26</c:v>
                </c:pt>
                <c:pt idx="37">
                  <c:v>0.27</c:v>
                </c:pt>
              </c:numCache>
            </c:numRef>
          </c:cat>
          <c:val>
            <c:numRef>
              <c:f>'S2'!$AJ$2:$AJ$39</c:f>
              <c:numCache>
                <c:formatCode>0.0000</c:formatCode>
                <c:ptCount val="38"/>
                <c:pt idx="0">
                  <c:v>2.3290697876036753E-2</c:v>
                </c:pt>
                <c:pt idx="1">
                  <c:v>3.0264500138022801E-2</c:v>
                </c:pt>
                <c:pt idx="2">
                  <c:v>3.8801669814521898E-2</c:v>
                </c:pt>
                <c:pt idx="3">
                  <c:v>4.9353407311606819E-2</c:v>
                </c:pt>
                <c:pt idx="4">
                  <c:v>4.6282532902743E-2</c:v>
                </c:pt>
                <c:pt idx="5">
                  <c:v>5.6771085577339397E-2</c:v>
                </c:pt>
                <c:pt idx="6">
                  <c:v>5.7863834947441919E-2</c:v>
                </c:pt>
                <c:pt idx="7">
                  <c:v>5.9826116546121903E-2</c:v>
                </c:pt>
                <c:pt idx="8">
                  <c:v>6.1585945980474337E-2</c:v>
                </c:pt>
                <c:pt idx="9">
                  <c:v>6.2481309835352002E-2</c:v>
                </c:pt>
                <c:pt idx="10">
                  <c:v>6.2481309835352002E-2</c:v>
                </c:pt>
                <c:pt idx="11">
                  <c:v>6.7825096256199202E-2</c:v>
                </c:pt>
                <c:pt idx="12">
                  <c:v>7.9011725985393438E-2</c:v>
                </c:pt>
                <c:pt idx="13">
                  <c:v>5.9473263349032503E-2</c:v>
                </c:pt>
                <c:pt idx="14">
                  <c:v>5.671192866841758E-2</c:v>
                </c:pt>
                <c:pt idx="15">
                  <c:v>5.1290609061106301E-2</c:v>
                </c:pt>
                <c:pt idx="16">
                  <c:v>5.1290609061106301E-2</c:v>
                </c:pt>
                <c:pt idx="17">
                  <c:v>4.5668833723542843E-2</c:v>
                </c:pt>
                <c:pt idx="18">
                  <c:v>3.8170511767356197E-2</c:v>
                </c:pt>
                <c:pt idx="19">
                  <c:v>3.3589818603206902E-2</c:v>
                </c:pt>
                <c:pt idx="20">
                  <c:v>2.28230281883374E-2</c:v>
                </c:pt>
                <c:pt idx="21">
                  <c:v>1.37578765887392E-2</c:v>
                </c:pt>
                <c:pt idx="22">
                  <c:v>1.37578765887392E-2</c:v>
                </c:pt>
                <c:pt idx="23">
                  <c:v>-2.6678932355576799E-3</c:v>
                </c:pt>
                <c:pt idx="24">
                  <c:v>-1.7146261882699701E-2</c:v>
                </c:pt>
                <c:pt idx="25">
                  <c:v>-2.7300011823121698E-2</c:v>
                </c:pt>
                <c:pt idx="26">
                  <c:v>-3.8390769405031597E-2</c:v>
                </c:pt>
                <c:pt idx="27">
                  <c:v>-5.0147492958639878E-2</c:v>
                </c:pt>
                <c:pt idx="28">
                  <c:v>-6.1421594518216403E-2</c:v>
                </c:pt>
                <c:pt idx="29">
                  <c:v>-7.9411956381846199E-2</c:v>
                </c:pt>
                <c:pt idx="30">
                  <c:v>-8.3241086705034897E-2</c:v>
                </c:pt>
                <c:pt idx="31">
                  <c:v>-9.7511660311378201E-2</c:v>
                </c:pt>
                <c:pt idx="32">
                  <c:v>-0.13055078324735814</c:v>
                </c:pt>
                <c:pt idx="33">
                  <c:v>-0.135788282846526</c:v>
                </c:pt>
                <c:pt idx="34">
                  <c:v>-0.15805355575437599</c:v>
                </c:pt>
                <c:pt idx="35">
                  <c:v>-0.17202718165912745</c:v>
                </c:pt>
                <c:pt idx="36">
                  <c:v>-0.19161505911052273</c:v>
                </c:pt>
                <c:pt idx="37">
                  <c:v>-0.22177696542834399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B3C-4D74-9F34-0AAC94D76C4D}"/>
            </c:ext>
          </c:extLst>
        </c:ser>
        <c:ser>
          <c:idx val="1"/>
          <c:order val="1"/>
          <c:tx>
            <c:strRef>
              <c:f>'S2'!$AK$1</c:f>
              <c:strCache>
                <c:ptCount val="1"/>
                <c:pt idx="0">
                  <c:v>Cp (Experiment)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'S2'!$AI$2:$AI$39</c:f>
              <c:numCache>
                <c:formatCode>General</c:formatCode>
                <c:ptCount val="38"/>
                <c:pt idx="0">
                  <c:v>-0.1</c:v>
                </c:pt>
                <c:pt idx="1">
                  <c:v>-0.09</c:v>
                </c:pt>
                <c:pt idx="2">
                  <c:v>-0.08</c:v>
                </c:pt>
                <c:pt idx="3">
                  <c:v>-7.0000000000000007E-2</c:v>
                </c:pt>
                <c:pt idx="4">
                  <c:v>-0.06</c:v>
                </c:pt>
                <c:pt idx="5">
                  <c:v>-0.05</c:v>
                </c:pt>
                <c:pt idx="6">
                  <c:v>-0.04</c:v>
                </c:pt>
                <c:pt idx="7">
                  <c:v>-0.03</c:v>
                </c:pt>
                <c:pt idx="8">
                  <c:v>-0.02</c:v>
                </c:pt>
                <c:pt idx="9">
                  <c:v>-0.01</c:v>
                </c:pt>
                <c:pt idx="10">
                  <c:v>0</c:v>
                </c:pt>
                <c:pt idx="11">
                  <c:v>0.01</c:v>
                </c:pt>
                <c:pt idx="12">
                  <c:v>0.02</c:v>
                </c:pt>
                <c:pt idx="13">
                  <c:v>0.03</c:v>
                </c:pt>
                <c:pt idx="14">
                  <c:v>0.04</c:v>
                </c:pt>
                <c:pt idx="15">
                  <c:v>0.05</c:v>
                </c:pt>
                <c:pt idx="16">
                  <c:v>0.06</c:v>
                </c:pt>
                <c:pt idx="17">
                  <c:v>7.0000000000000007E-2</c:v>
                </c:pt>
                <c:pt idx="18">
                  <c:v>0.08</c:v>
                </c:pt>
                <c:pt idx="19">
                  <c:v>0.09</c:v>
                </c:pt>
                <c:pt idx="20">
                  <c:v>0.1</c:v>
                </c:pt>
                <c:pt idx="21">
                  <c:v>0.11</c:v>
                </c:pt>
                <c:pt idx="22">
                  <c:v>0.12</c:v>
                </c:pt>
                <c:pt idx="23">
                  <c:v>0.13</c:v>
                </c:pt>
                <c:pt idx="24">
                  <c:v>0.14000000000000001</c:v>
                </c:pt>
                <c:pt idx="25">
                  <c:v>0.15</c:v>
                </c:pt>
                <c:pt idx="26">
                  <c:v>0.16</c:v>
                </c:pt>
                <c:pt idx="27">
                  <c:v>0.17</c:v>
                </c:pt>
                <c:pt idx="28">
                  <c:v>0.18</c:v>
                </c:pt>
                <c:pt idx="29">
                  <c:v>0.19</c:v>
                </c:pt>
                <c:pt idx="30">
                  <c:v>0.2</c:v>
                </c:pt>
                <c:pt idx="31">
                  <c:v>0.21</c:v>
                </c:pt>
                <c:pt idx="32">
                  <c:v>0.22</c:v>
                </c:pt>
                <c:pt idx="33" formatCode="0.00">
                  <c:v>0.23</c:v>
                </c:pt>
                <c:pt idx="34" formatCode="0.00">
                  <c:v>0.24</c:v>
                </c:pt>
                <c:pt idx="35">
                  <c:v>0.25</c:v>
                </c:pt>
                <c:pt idx="36">
                  <c:v>0.26</c:v>
                </c:pt>
                <c:pt idx="37">
                  <c:v>0.27</c:v>
                </c:pt>
              </c:numCache>
            </c:numRef>
          </c:cat>
          <c:val>
            <c:numRef>
              <c:f>'S2'!$AK$2:$AK$39</c:f>
              <c:numCache>
                <c:formatCode>0.0000</c:formatCode>
                <c:ptCount val="38"/>
                <c:pt idx="0">
                  <c:v>4.1939999999999998E-2</c:v>
                </c:pt>
                <c:pt idx="1">
                  <c:v>4.8689999999999997E-2</c:v>
                </c:pt>
                <c:pt idx="2">
                  <c:v>5.5059999999999998E-2</c:v>
                </c:pt>
                <c:pt idx="3">
                  <c:v>6.1580000000000003E-2</c:v>
                </c:pt>
                <c:pt idx="4">
                  <c:v>6.6379999999999995E-2</c:v>
                </c:pt>
                <c:pt idx="5">
                  <c:v>7.0519999999999999E-2</c:v>
                </c:pt>
                <c:pt idx="6">
                  <c:v>7.4029999999999999E-2</c:v>
                </c:pt>
                <c:pt idx="7">
                  <c:v>7.7090000000000006E-2</c:v>
                </c:pt>
                <c:pt idx="8">
                  <c:v>8.0030000000000004E-2</c:v>
                </c:pt>
                <c:pt idx="9">
                  <c:v>8.1500000000000003E-2</c:v>
                </c:pt>
                <c:pt idx="10">
                  <c:v>8.2199999999999995E-2</c:v>
                </c:pt>
                <c:pt idx="11">
                  <c:v>8.1799999999999998E-2</c:v>
                </c:pt>
                <c:pt idx="12">
                  <c:v>8.0920000000000006E-2</c:v>
                </c:pt>
                <c:pt idx="13">
                  <c:v>7.9850000000000004E-2</c:v>
                </c:pt>
                <c:pt idx="14">
                  <c:v>7.7649999999999997E-2</c:v>
                </c:pt>
                <c:pt idx="15">
                  <c:v>7.467E-2</c:v>
                </c:pt>
                <c:pt idx="16">
                  <c:v>7.0989999999999998E-2</c:v>
                </c:pt>
                <c:pt idx="17">
                  <c:v>6.6409999999999997E-2</c:v>
                </c:pt>
                <c:pt idx="18">
                  <c:v>6.114E-2</c:v>
                </c:pt>
                <c:pt idx="19">
                  <c:v>5.5350000000000003E-2</c:v>
                </c:pt>
                <c:pt idx="20">
                  <c:v>4.8959999999999997E-2</c:v>
                </c:pt>
                <c:pt idx="21">
                  <c:v>4.1700000000000001E-2</c:v>
                </c:pt>
                <c:pt idx="22">
                  <c:v>3.363E-2</c:v>
                </c:pt>
                <c:pt idx="23">
                  <c:v>2.52E-2</c:v>
                </c:pt>
                <c:pt idx="24">
                  <c:v>1.592E-2</c:v>
                </c:pt>
                <c:pt idx="25">
                  <c:v>5.6299999999999996E-3</c:v>
                </c:pt>
                <c:pt idx="26">
                  <c:v>-4.9699999999999996E-3</c:v>
                </c:pt>
                <c:pt idx="27">
                  <c:v>-1.6219999999999998E-2</c:v>
                </c:pt>
                <c:pt idx="28">
                  <c:v>-2.8420000000000001E-2</c:v>
                </c:pt>
                <c:pt idx="29">
                  <c:v>-4.0460000000000003E-2</c:v>
                </c:pt>
                <c:pt idx="30">
                  <c:v>-5.3650000000000003E-2</c:v>
                </c:pt>
                <c:pt idx="31">
                  <c:v>-6.726E-2</c:v>
                </c:pt>
                <c:pt idx="32">
                  <c:v>-8.1610000000000002E-2</c:v>
                </c:pt>
                <c:pt idx="33">
                  <c:v>-9.6839999999999996E-2</c:v>
                </c:pt>
                <c:pt idx="34">
                  <c:v>-0.11301</c:v>
                </c:pt>
                <c:pt idx="35">
                  <c:v>-0.13086</c:v>
                </c:pt>
                <c:pt idx="36">
                  <c:v>-0.14989</c:v>
                </c:pt>
                <c:pt idx="37">
                  <c:v>-0.17094000000000001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B3C-4D74-9F34-0AAC94D76C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99302096"/>
        <c:axId val="799304976"/>
      </c:lineChart>
      <c:catAx>
        <c:axId val="7993020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ID"/>
                  <a:t>Z-position (m)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#,##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799304976"/>
        <c:crosses val="autoZero"/>
        <c:auto val="1"/>
        <c:lblAlgn val="ctr"/>
        <c:lblOffset val="100"/>
        <c:tickLblSkip val="3"/>
        <c:noMultiLvlLbl val="0"/>
      </c:catAx>
      <c:valAx>
        <c:axId val="79930497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ID"/>
                  <a:t>Cp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0.00" sourceLinked="0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7993020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005966235169892"/>
          <c:y val="4.2481309896138214E-2"/>
          <c:w val="0.86828307581814368"/>
          <c:h val="0.78603590385296662"/>
        </c:manualLayout>
      </c:layout>
      <c:scatterChart>
        <c:scatterStyle val="lineMarker"/>
        <c:varyColors val="0"/>
        <c:ser>
          <c:idx val="0"/>
          <c:order val="0"/>
          <c:tx>
            <c:strRef>
              <c:f>'S3'!$X$2</c:f>
              <c:strCache>
                <c:ptCount val="1"/>
                <c:pt idx="0">
                  <c:v>X-direction (simulation)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'S3'!$W$3:$W$27</c:f>
              <c:numCache>
                <c:formatCode>General</c:formatCode>
                <c:ptCount val="25"/>
                <c:pt idx="0">
                  <c:v>5.5000000000000003E-4</c:v>
                </c:pt>
                <c:pt idx="1">
                  <c:v>6.4999999999999997E-4</c:v>
                </c:pt>
                <c:pt idx="2">
                  <c:v>7.6999999999999996E-4</c:v>
                </c:pt>
                <c:pt idx="3">
                  <c:v>9.2000000000000003E-4</c:v>
                </c:pt>
                <c:pt idx="4">
                  <c:v>1.1200000000000001E-3</c:v>
                </c:pt>
                <c:pt idx="5">
                  <c:v>1.3500000000000001E-3</c:v>
                </c:pt>
                <c:pt idx="6">
                  <c:v>1.65E-3</c:v>
                </c:pt>
                <c:pt idx="7">
                  <c:v>2.0100000000000001E-3</c:v>
                </c:pt>
                <c:pt idx="8">
                  <c:v>2.47E-3</c:v>
                </c:pt>
                <c:pt idx="9">
                  <c:v>2.8899999999999998E-3</c:v>
                </c:pt>
                <c:pt idx="10">
                  <c:v>3.5899999999999999E-3</c:v>
                </c:pt>
                <c:pt idx="11">
                  <c:v>4.47E-3</c:v>
                </c:pt>
                <c:pt idx="12">
                  <c:v>5.5500000000000002E-3</c:v>
                </c:pt>
                <c:pt idx="13">
                  <c:v>6.9099999999999995E-3</c:v>
                </c:pt>
                <c:pt idx="14">
                  <c:v>8.5900000000000004E-3</c:v>
                </c:pt>
                <c:pt idx="15">
                  <c:v>1.068E-2</c:v>
                </c:pt>
                <c:pt idx="16">
                  <c:v>1.328E-2</c:v>
                </c:pt>
                <c:pt idx="17">
                  <c:v>1.651E-2</c:v>
                </c:pt>
                <c:pt idx="18">
                  <c:v>2.053E-2</c:v>
                </c:pt>
                <c:pt idx="19">
                  <c:v>2.5530000000000001E-2</c:v>
                </c:pt>
                <c:pt idx="20">
                  <c:v>3.175E-2</c:v>
                </c:pt>
                <c:pt idx="21">
                  <c:v>3.9480000000000001E-2</c:v>
                </c:pt>
                <c:pt idx="22">
                  <c:v>4.9089999999999995E-2</c:v>
                </c:pt>
                <c:pt idx="23">
                  <c:v>5.9089999999999997E-2</c:v>
                </c:pt>
                <c:pt idx="24">
                  <c:v>5.9299999999999999E-2</c:v>
                </c:pt>
              </c:numCache>
            </c:numRef>
          </c:xVal>
          <c:yVal>
            <c:numRef>
              <c:f>'S3'!$X$3:$X$27</c:f>
              <c:numCache>
                <c:formatCode>General</c:formatCode>
                <c:ptCount val="25"/>
                <c:pt idx="0">
                  <c:v>8.5630699766882401</c:v>
                </c:pt>
                <c:pt idx="1">
                  <c:v>8.8153539542891863</c:v>
                </c:pt>
                <c:pt idx="2">
                  <c:v>9.3464781176595935</c:v>
                </c:pt>
                <c:pt idx="3">
                  <c:v>10.010383321872601</c:v>
                </c:pt>
                <c:pt idx="4">
                  <c:v>10.895590260823276</c:v>
                </c:pt>
                <c:pt idx="5">
                  <c:v>11.187708550677</c:v>
                </c:pt>
                <c:pt idx="6">
                  <c:v>11.187708550677</c:v>
                </c:pt>
                <c:pt idx="7">
                  <c:v>11.81174581489203</c:v>
                </c:pt>
                <c:pt idx="8">
                  <c:v>12.789674341497401</c:v>
                </c:pt>
                <c:pt idx="9">
                  <c:v>12.789674341497401</c:v>
                </c:pt>
                <c:pt idx="10">
                  <c:v>12.873716364169466</c:v>
                </c:pt>
                <c:pt idx="11">
                  <c:v>14.3470780741391</c:v>
                </c:pt>
                <c:pt idx="12">
                  <c:v>14.759389265827922</c:v>
                </c:pt>
                <c:pt idx="13">
                  <c:v>15.4949679176671</c:v>
                </c:pt>
                <c:pt idx="14">
                  <c:v>15.7762136334138</c:v>
                </c:pt>
                <c:pt idx="15">
                  <c:v>15.715231082935899</c:v>
                </c:pt>
                <c:pt idx="16">
                  <c:v>15.738734100413955</c:v>
                </c:pt>
                <c:pt idx="17" formatCode="0.00000">
                  <c:v>15.7747921485961</c:v>
                </c:pt>
                <c:pt idx="18" formatCode="0.00000">
                  <c:v>15.7747921485961</c:v>
                </c:pt>
                <c:pt idx="19" formatCode="0.00000">
                  <c:v>15.766487623432047</c:v>
                </c:pt>
                <c:pt idx="20" formatCode="0.00000">
                  <c:v>15.6159346188455</c:v>
                </c:pt>
                <c:pt idx="21" formatCode="0.00000">
                  <c:v>15.6159346188455</c:v>
                </c:pt>
                <c:pt idx="22" formatCode="0.00000">
                  <c:v>15.7453777476686</c:v>
                </c:pt>
                <c:pt idx="23" formatCode="0.00000">
                  <c:v>15.7453777476686</c:v>
                </c:pt>
                <c:pt idx="24">
                  <c:v>15.7453777476686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948-4B07-AE94-74B212941581}"/>
            </c:ext>
          </c:extLst>
        </c:ser>
        <c:ser>
          <c:idx val="1"/>
          <c:order val="1"/>
          <c:tx>
            <c:strRef>
              <c:f>'S3'!$Y$2</c:f>
              <c:strCache>
                <c:ptCount val="1"/>
                <c:pt idx="0">
                  <c:v>X-direction (experiment)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'S3'!$W$3:$W$27</c:f>
              <c:numCache>
                <c:formatCode>General</c:formatCode>
                <c:ptCount val="25"/>
                <c:pt idx="0">
                  <c:v>5.5000000000000003E-4</c:v>
                </c:pt>
                <c:pt idx="1">
                  <c:v>6.4999999999999997E-4</c:v>
                </c:pt>
                <c:pt idx="2">
                  <c:v>7.6999999999999996E-4</c:v>
                </c:pt>
                <c:pt idx="3">
                  <c:v>9.2000000000000003E-4</c:v>
                </c:pt>
                <c:pt idx="4">
                  <c:v>1.1200000000000001E-3</c:v>
                </c:pt>
                <c:pt idx="5">
                  <c:v>1.3500000000000001E-3</c:v>
                </c:pt>
                <c:pt idx="6">
                  <c:v>1.65E-3</c:v>
                </c:pt>
                <c:pt idx="7">
                  <c:v>2.0100000000000001E-3</c:v>
                </c:pt>
                <c:pt idx="8">
                  <c:v>2.47E-3</c:v>
                </c:pt>
                <c:pt idx="9">
                  <c:v>2.8899999999999998E-3</c:v>
                </c:pt>
                <c:pt idx="10">
                  <c:v>3.5899999999999999E-3</c:v>
                </c:pt>
                <c:pt idx="11">
                  <c:v>4.47E-3</c:v>
                </c:pt>
                <c:pt idx="12">
                  <c:v>5.5500000000000002E-3</c:v>
                </c:pt>
                <c:pt idx="13">
                  <c:v>6.9099999999999995E-3</c:v>
                </c:pt>
                <c:pt idx="14">
                  <c:v>8.5900000000000004E-3</c:v>
                </c:pt>
                <c:pt idx="15">
                  <c:v>1.068E-2</c:v>
                </c:pt>
                <c:pt idx="16">
                  <c:v>1.328E-2</c:v>
                </c:pt>
                <c:pt idx="17">
                  <c:v>1.651E-2</c:v>
                </c:pt>
                <c:pt idx="18">
                  <c:v>2.053E-2</c:v>
                </c:pt>
                <c:pt idx="19">
                  <c:v>2.5530000000000001E-2</c:v>
                </c:pt>
                <c:pt idx="20">
                  <c:v>3.175E-2</c:v>
                </c:pt>
                <c:pt idx="21">
                  <c:v>3.9480000000000001E-2</c:v>
                </c:pt>
                <c:pt idx="22">
                  <c:v>4.9089999999999995E-2</c:v>
                </c:pt>
                <c:pt idx="23">
                  <c:v>5.9089999999999997E-2</c:v>
                </c:pt>
                <c:pt idx="24">
                  <c:v>5.9299999999999999E-2</c:v>
                </c:pt>
              </c:numCache>
            </c:numRef>
          </c:xVal>
          <c:yVal>
            <c:numRef>
              <c:f>'S3'!$Y$3:$Y$27</c:f>
              <c:numCache>
                <c:formatCode>General</c:formatCode>
                <c:ptCount val="25"/>
                <c:pt idx="0">
                  <c:v>4.8695300000000001</c:v>
                </c:pt>
                <c:pt idx="1">
                  <c:v>5.0252699999999999</c:v>
                </c:pt>
                <c:pt idx="2">
                  <c:v>5.3144200000000001</c:v>
                </c:pt>
                <c:pt idx="3">
                  <c:v>5.5582000000000003</c:v>
                </c:pt>
                <c:pt idx="4">
                  <c:v>5.7973299999999997</c:v>
                </c:pt>
                <c:pt idx="5">
                  <c:v>6.0416999999999996</c:v>
                </c:pt>
                <c:pt idx="6">
                  <c:v>6.3067399999999996</c:v>
                </c:pt>
                <c:pt idx="7">
                  <c:v>6.5709200000000001</c:v>
                </c:pt>
                <c:pt idx="8">
                  <c:v>6.8898900000000003</c:v>
                </c:pt>
                <c:pt idx="9">
                  <c:v>7.2540399999999998</c:v>
                </c:pt>
                <c:pt idx="10">
                  <c:v>7.5582599999999998</c:v>
                </c:pt>
                <c:pt idx="11">
                  <c:v>7.9796399999999998</c:v>
                </c:pt>
                <c:pt idx="12">
                  <c:v>8.4486899999999991</c:v>
                </c:pt>
                <c:pt idx="13">
                  <c:v>8.94801</c:v>
                </c:pt>
                <c:pt idx="14">
                  <c:v>9.5439699999999998</c:v>
                </c:pt>
                <c:pt idx="15">
                  <c:v>10.14723</c:v>
                </c:pt>
                <c:pt idx="16">
                  <c:v>10.888299999999999</c:v>
                </c:pt>
                <c:pt idx="17">
                  <c:v>11.649559999999999</c:v>
                </c:pt>
                <c:pt idx="18">
                  <c:v>12.490830000000001</c:v>
                </c:pt>
                <c:pt idx="19">
                  <c:v>13.37989</c:v>
                </c:pt>
                <c:pt idx="20">
                  <c:v>14.21203</c:v>
                </c:pt>
                <c:pt idx="21">
                  <c:v>14.69909</c:v>
                </c:pt>
                <c:pt idx="22">
                  <c:v>14.77544</c:v>
                </c:pt>
                <c:pt idx="23">
                  <c:v>14.784190000000001</c:v>
                </c:pt>
                <c:pt idx="24">
                  <c:v>14.78322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948-4B07-AE94-74B212941581}"/>
            </c:ext>
          </c:extLst>
        </c:ser>
        <c:ser>
          <c:idx val="2"/>
          <c:order val="2"/>
          <c:tx>
            <c:strRef>
              <c:f>'S3'!$Z$2</c:f>
              <c:strCache>
                <c:ptCount val="1"/>
                <c:pt idx="0">
                  <c:v>Z-direction (simulation)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'S3'!$W$3:$W$27</c:f>
              <c:numCache>
                <c:formatCode>General</c:formatCode>
                <c:ptCount val="25"/>
                <c:pt idx="0">
                  <c:v>5.5000000000000003E-4</c:v>
                </c:pt>
                <c:pt idx="1">
                  <c:v>6.4999999999999997E-4</c:v>
                </c:pt>
                <c:pt idx="2">
                  <c:v>7.6999999999999996E-4</c:v>
                </c:pt>
                <c:pt idx="3">
                  <c:v>9.2000000000000003E-4</c:v>
                </c:pt>
                <c:pt idx="4">
                  <c:v>1.1200000000000001E-3</c:v>
                </c:pt>
                <c:pt idx="5">
                  <c:v>1.3500000000000001E-3</c:v>
                </c:pt>
                <c:pt idx="6">
                  <c:v>1.65E-3</c:v>
                </c:pt>
                <c:pt idx="7">
                  <c:v>2.0100000000000001E-3</c:v>
                </c:pt>
                <c:pt idx="8">
                  <c:v>2.47E-3</c:v>
                </c:pt>
                <c:pt idx="9">
                  <c:v>2.8899999999999998E-3</c:v>
                </c:pt>
                <c:pt idx="10">
                  <c:v>3.5899999999999999E-3</c:v>
                </c:pt>
                <c:pt idx="11">
                  <c:v>4.47E-3</c:v>
                </c:pt>
                <c:pt idx="12">
                  <c:v>5.5500000000000002E-3</c:v>
                </c:pt>
                <c:pt idx="13">
                  <c:v>6.9099999999999995E-3</c:v>
                </c:pt>
                <c:pt idx="14">
                  <c:v>8.5900000000000004E-3</c:v>
                </c:pt>
                <c:pt idx="15">
                  <c:v>1.068E-2</c:v>
                </c:pt>
                <c:pt idx="16">
                  <c:v>1.328E-2</c:v>
                </c:pt>
                <c:pt idx="17">
                  <c:v>1.651E-2</c:v>
                </c:pt>
                <c:pt idx="18">
                  <c:v>2.053E-2</c:v>
                </c:pt>
                <c:pt idx="19">
                  <c:v>2.5530000000000001E-2</c:v>
                </c:pt>
                <c:pt idx="20">
                  <c:v>3.175E-2</c:v>
                </c:pt>
                <c:pt idx="21">
                  <c:v>3.9480000000000001E-2</c:v>
                </c:pt>
                <c:pt idx="22">
                  <c:v>4.9089999999999995E-2</c:v>
                </c:pt>
                <c:pt idx="23">
                  <c:v>5.9089999999999997E-2</c:v>
                </c:pt>
                <c:pt idx="24">
                  <c:v>5.9299999999999999E-2</c:v>
                </c:pt>
              </c:numCache>
            </c:numRef>
          </c:xVal>
          <c:yVal>
            <c:numRef>
              <c:f>'S3'!$Z$3:$Z$27</c:f>
              <c:numCache>
                <c:formatCode>0.00000</c:formatCode>
                <c:ptCount val="25"/>
                <c:pt idx="0">
                  <c:v>3.64589055872244E-3</c:v>
                </c:pt>
                <c:pt idx="1">
                  <c:v>4.5635891115955694E-3</c:v>
                </c:pt>
                <c:pt idx="2">
                  <c:v>6.4955860650126509E-3</c:v>
                </c:pt>
                <c:pt idx="3">
                  <c:v>8.9105822567840023E-3</c:v>
                </c:pt>
                <c:pt idx="4">
                  <c:v>1.2130577179145808E-2</c:v>
                </c:pt>
                <c:pt idx="5">
                  <c:v>1.31931755035252E-2</c:v>
                </c:pt>
                <c:pt idx="6">
                  <c:v>1.31931755035252E-2</c:v>
                </c:pt>
                <c:pt idx="7">
                  <c:v>1.7404585308094765E-2</c:v>
                </c:pt>
                <c:pt idx="8">
                  <c:v>2.4004283789714601E-2</c:v>
                </c:pt>
                <c:pt idx="9">
                  <c:v>2.4004283789714601E-2</c:v>
                </c:pt>
                <c:pt idx="10">
                  <c:v>2.5042268038713913E-2</c:v>
                </c:pt>
                <c:pt idx="11">
                  <c:v>4.3239429403983197E-2</c:v>
                </c:pt>
                <c:pt idx="12">
                  <c:v>4.8365917655341983E-2</c:v>
                </c:pt>
                <c:pt idx="13">
                  <c:v>5.7511765239925301E-2</c:v>
                </c:pt>
                <c:pt idx="14">
                  <c:v>6.4902598143090198E-2</c:v>
                </c:pt>
                <c:pt idx="15">
                  <c:v>5.6835275794060197E-2</c:v>
                </c:pt>
                <c:pt idx="16">
                  <c:v>5.1285425654079335E-2</c:v>
                </c:pt>
                <c:pt idx="17">
                  <c:v>4.2770911977783897E-2</c:v>
                </c:pt>
                <c:pt idx="18">
                  <c:v>4.2770911977783897E-2</c:v>
                </c:pt>
                <c:pt idx="19">
                  <c:v>4.2394613664683327E-2</c:v>
                </c:pt>
                <c:pt idx="20">
                  <c:v>3.5572689407849897E-2</c:v>
                </c:pt>
                <c:pt idx="21">
                  <c:v>3.5572689407849897E-2</c:v>
                </c:pt>
                <c:pt idx="22">
                  <c:v>1.8798217145095199E-2</c:v>
                </c:pt>
                <c:pt idx="23">
                  <c:v>1.8798217145095199E-2</c:v>
                </c:pt>
                <c:pt idx="24">
                  <c:v>1.8798217145095199E-2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948-4B07-AE94-74B212941581}"/>
            </c:ext>
          </c:extLst>
        </c:ser>
        <c:ser>
          <c:idx val="3"/>
          <c:order val="3"/>
          <c:tx>
            <c:strRef>
              <c:f>'S3'!$AA$2</c:f>
              <c:strCache>
                <c:ptCount val="1"/>
                <c:pt idx="0">
                  <c:v>Z-direction (experiment)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'S3'!$W$3:$W$27</c:f>
              <c:numCache>
                <c:formatCode>General</c:formatCode>
                <c:ptCount val="25"/>
                <c:pt idx="0">
                  <c:v>5.5000000000000003E-4</c:v>
                </c:pt>
                <c:pt idx="1">
                  <c:v>6.4999999999999997E-4</c:v>
                </c:pt>
                <c:pt idx="2">
                  <c:v>7.6999999999999996E-4</c:v>
                </c:pt>
                <c:pt idx="3">
                  <c:v>9.2000000000000003E-4</c:v>
                </c:pt>
                <c:pt idx="4">
                  <c:v>1.1200000000000001E-3</c:v>
                </c:pt>
                <c:pt idx="5">
                  <c:v>1.3500000000000001E-3</c:v>
                </c:pt>
                <c:pt idx="6">
                  <c:v>1.65E-3</c:v>
                </c:pt>
                <c:pt idx="7">
                  <c:v>2.0100000000000001E-3</c:v>
                </c:pt>
                <c:pt idx="8">
                  <c:v>2.47E-3</c:v>
                </c:pt>
                <c:pt idx="9">
                  <c:v>2.8899999999999998E-3</c:v>
                </c:pt>
                <c:pt idx="10">
                  <c:v>3.5899999999999999E-3</c:v>
                </c:pt>
                <c:pt idx="11">
                  <c:v>4.47E-3</c:v>
                </c:pt>
                <c:pt idx="12">
                  <c:v>5.5500000000000002E-3</c:v>
                </c:pt>
                <c:pt idx="13">
                  <c:v>6.9099999999999995E-3</c:v>
                </c:pt>
                <c:pt idx="14">
                  <c:v>8.5900000000000004E-3</c:v>
                </c:pt>
                <c:pt idx="15">
                  <c:v>1.068E-2</c:v>
                </c:pt>
                <c:pt idx="16">
                  <c:v>1.328E-2</c:v>
                </c:pt>
                <c:pt idx="17">
                  <c:v>1.651E-2</c:v>
                </c:pt>
                <c:pt idx="18">
                  <c:v>2.053E-2</c:v>
                </c:pt>
                <c:pt idx="19">
                  <c:v>2.5530000000000001E-2</c:v>
                </c:pt>
                <c:pt idx="20">
                  <c:v>3.175E-2</c:v>
                </c:pt>
                <c:pt idx="21">
                  <c:v>3.9480000000000001E-2</c:v>
                </c:pt>
                <c:pt idx="22">
                  <c:v>4.9089999999999995E-2</c:v>
                </c:pt>
                <c:pt idx="23">
                  <c:v>5.9089999999999997E-2</c:v>
                </c:pt>
                <c:pt idx="24">
                  <c:v>5.9299999999999999E-2</c:v>
                </c:pt>
              </c:numCache>
            </c:numRef>
          </c:xVal>
          <c:yVal>
            <c:numRef>
              <c:f>'S3'!$AA$3:$AA$27</c:f>
              <c:numCache>
                <c:formatCode>General</c:formatCode>
                <c:ptCount val="25"/>
                <c:pt idx="0">
                  <c:v>3.8662999999999998</c:v>
                </c:pt>
                <c:pt idx="1">
                  <c:v>3.91174</c:v>
                </c:pt>
                <c:pt idx="2">
                  <c:v>4.0384200000000003</c:v>
                </c:pt>
                <c:pt idx="3">
                  <c:v>4.1577099999999998</c:v>
                </c:pt>
                <c:pt idx="4">
                  <c:v>4.21258</c:v>
                </c:pt>
                <c:pt idx="5">
                  <c:v>4.2331099999999999</c:v>
                </c:pt>
                <c:pt idx="6">
                  <c:v>4.2557400000000003</c:v>
                </c:pt>
                <c:pt idx="7">
                  <c:v>4.2748400000000002</c:v>
                </c:pt>
                <c:pt idx="8">
                  <c:v>4.2531499999999998</c:v>
                </c:pt>
                <c:pt idx="9">
                  <c:v>4.2708599999999999</c:v>
                </c:pt>
                <c:pt idx="10">
                  <c:v>4.2252799999999997</c:v>
                </c:pt>
                <c:pt idx="11">
                  <c:v>4.17936</c:v>
                </c:pt>
                <c:pt idx="12">
                  <c:v>4.11965</c:v>
                </c:pt>
                <c:pt idx="13">
                  <c:v>4.02339</c:v>
                </c:pt>
                <c:pt idx="14">
                  <c:v>3.9238300000000002</c:v>
                </c:pt>
                <c:pt idx="15">
                  <c:v>3.7691699999999999</c:v>
                </c:pt>
                <c:pt idx="16">
                  <c:v>3.6269800000000001</c:v>
                </c:pt>
                <c:pt idx="17">
                  <c:v>3.4498099999999998</c:v>
                </c:pt>
                <c:pt idx="18">
                  <c:v>3.2746499999999998</c:v>
                </c:pt>
                <c:pt idx="19">
                  <c:v>3.1196199999999998</c:v>
                </c:pt>
                <c:pt idx="20">
                  <c:v>2.9931800000000002</c:v>
                </c:pt>
                <c:pt idx="21">
                  <c:v>2.9221200000000001</c:v>
                </c:pt>
                <c:pt idx="22">
                  <c:v>2.90042</c:v>
                </c:pt>
                <c:pt idx="23">
                  <c:v>2.9035099999999998</c:v>
                </c:pt>
                <c:pt idx="24">
                  <c:v>2.9045800000000002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948-4B07-AE94-74B2129415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44478464"/>
        <c:axId val="944474624"/>
      </c:scatterChart>
      <c:valAx>
        <c:axId val="944478464"/>
        <c:scaling>
          <c:orientation val="minMax"/>
          <c:max val="6.0000000000000012E-2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ID">
                    <a:solidFill>
                      <a:schemeClr val="tx1"/>
                    </a:solidFill>
                  </a:rPr>
                  <a:t>Y-position (m)</a:t>
                </a:r>
              </a:p>
            </c:rich>
          </c:tx>
          <c:layout>
            <c:manualLayout>
              <c:xMode val="edge"/>
              <c:yMode val="edge"/>
              <c:x val="0.4570261335338327"/>
              <c:y val="0.9211264693226861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944474624"/>
        <c:crosses val="autoZero"/>
        <c:crossBetween val="midCat"/>
      </c:valAx>
      <c:valAx>
        <c:axId val="94447462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ID">
                    <a:solidFill>
                      <a:schemeClr val="tx1"/>
                    </a:solidFill>
                  </a:rPr>
                  <a:t>Velocity (m/s)</a:t>
                </a:r>
              </a:p>
            </c:rich>
          </c:tx>
          <c:layout>
            <c:manualLayout>
              <c:xMode val="edge"/>
              <c:yMode val="edge"/>
              <c:x val="1.4789866693412384E-2"/>
              <c:y val="0.3069738376557128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9444784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7508899555223889"/>
          <c:y val="0.33103918041784947"/>
          <c:w val="0.28063047882430131"/>
          <c:h val="0.24638429924844268"/>
        </c:manualLayout>
      </c:layout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005966235169892"/>
          <c:y val="4.2481309896138214E-2"/>
          <c:w val="0.86828307581814368"/>
          <c:h val="0.78603590385296662"/>
        </c:manualLayout>
      </c:layout>
      <c:scatterChart>
        <c:scatterStyle val="lineMarker"/>
        <c:varyColors val="0"/>
        <c:ser>
          <c:idx val="0"/>
          <c:order val="0"/>
          <c:tx>
            <c:strRef>
              <c:f>'S3'!$AB$2</c:f>
              <c:strCache>
                <c:ptCount val="1"/>
                <c:pt idx="0">
                  <c:v>Simulation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'S3'!$W$3:$W$25</c:f>
              <c:numCache>
                <c:formatCode>General</c:formatCode>
                <c:ptCount val="23"/>
                <c:pt idx="0">
                  <c:v>5.5000000000000003E-4</c:v>
                </c:pt>
                <c:pt idx="1">
                  <c:v>6.4999999999999997E-4</c:v>
                </c:pt>
                <c:pt idx="2">
                  <c:v>7.6999999999999996E-4</c:v>
                </c:pt>
                <c:pt idx="3">
                  <c:v>9.2000000000000003E-4</c:v>
                </c:pt>
                <c:pt idx="4">
                  <c:v>1.1200000000000001E-3</c:v>
                </c:pt>
                <c:pt idx="5">
                  <c:v>1.3500000000000001E-3</c:v>
                </c:pt>
                <c:pt idx="6">
                  <c:v>1.65E-3</c:v>
                </c:pt>
                <c:pt idx="7">
                  <c:v>2.0100000000000001E-3</c:v>
                </c:pt>
                <c:pt idx="8">
                  <c:v>2.47E-3</c:v>
                </c:pt>
                <c:pt idx="9">
                  <c:v>2.8899999999999998E-3</c:v>
                </c:pt>
                <c:pt idx="10">
                  <c:v>3.5899999999999999E-3</c:v>
                </c:pt>
                <c:pt idx="11">
                  <c:v>4.47E-3</c:v>
                </c:pt>
                <c:pt idx="12">
                  <c:v>5.5500000000000002E-3</c:v>
                </c:pt>
                <c:pt idx="13">
                  <c:v>6.9099999999999995E-3</c:v>
                </c:pt>
                <c:pt idx="14">
                  <c:v>8.5900000000000004E-3</c:v>
                </c:pt>
                <c:pt idx="15">
                  <c:v>1.068E-2</c:v>
                </c:pt>
                <c:pt idx="16">
                  <c:v>1.328E-2</c:v>
                </c:pt>
                <c:pt idx="17">
                  <c:v>1.651E-2</c:v>
                </c:pt>
                <c:pt idx="18">
                  <c:v>2.053E-2</c:v>
                </c:pt>
                <c:pt idx="19">
                  <c:v>2.5530000000000001E-2</c:v>
                </c:pt>
                <c:pt idx="20">
                  <c:v>3.175E-2</c:v>
                </c:pt>
                <c:pt idx="21">
                  <c:v>3.9480000000000001E-2</c:v>
                </c:pt>
                <c:pt idx="22">
                  <c:v>4.9089999999999995E-2</c:v>
                </c:pt>
              </c:numCache>
            </c:numRef>
          </c:xVal>
          <c:yVal>
            <c:numRef>
              <c:f>'S3'!$AB$3:$AB$25</c:f>
              <c:numCache>
                <c:formatCode>General</c:formatCode>
                <c:ptCount val="23"/>
                <c:pt idx="0">
                  <c:v>304.45098576003602</c:v>
                </c:pt>
                <c:pt idx="1">
                  <c:v>304.2575991067921</c:v>
                </c:pt>
                <c:pt idx="2">
                  <c:v>303.85046931048919</c:v>
                </c:pt>
                <c:pt idx="3">
                  <c:v>303.34155706511052</c:v>
                </c:pt>
                <c:pt idx="4">
                  <c:v>302.66300740460565</c:v>
                </c:pt>
                <c:pt idx="5">
                  <c:v>302.43908601663901</c:v>
                </c:pt>
                <c:pt idx="6">
                  <c:v>302.43908601663901</c:v>
                </c:pt>
                <c:pt idx="7">
                  <c:v>302.04206128453421</c:v>
                </c:pt>
                <c:pt idx="8">
                  <c:v>301.41988399872503</c:v>
                </c:pt>
                <c:pt idx="9">
                  <c:v>301.41988399872503</c:v>
                </c:pt>
                <c:pt idx="10">
                  <c:v>301.37643867007603</c:v>
                </c:pt>
                <c:pt idx="11">
                  <c:v>300.61478775219803</c:v>
                </c:pt>
                <c:pt idx="12">
                  <c:v>300.4345373221812</c:v>
                </c:pt>
                <c:pt idx="13">
                  <c:v>300.11296378506199</c:v>
                </c:pt>
                <c:pt idx="14">
                  <c:v>300.007928006501</c:v>
                </c:pt>
                <c:pt idx="15">
                  <c:v>300.00529535821403</c:v>
                </c:pt>
                <c:pt idx="16">
                  <c:v>300.00517041222787</c:v>
                </c:pt>
                <c:pt idx="17">
                  <c:v>300.00497872159099</c:v>
                </c:pt>
                <c:pt idx="18">
                  <c:v>300.00497872159099</c:v>
                </c:pt>
                <c:pt idx="19">
                  <c:v>300.00508298908187</c:v>
                </c:pt>
                <c:pt idx="20">
                  <c:v>300.00697325778702</c:v>
                </c:pt>
                <c:pt idx="21">
                  <c:v>300.00697325778702</c:v>
                </c:pt>
                <c:pt idx="22">
                  <c:v>300.004779752324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3BC-4EEF-ADDB-E8CE94327576}"/>
            </c:ext>
          </c:extLst>
        </c:ser>
        <c:ser>
          <c:idx val="1"/>
          <c:order val="1"/>
          <c:tx>
            <c:strRef>
              <c:f>'S3'!$AC$2</c:f>
              <c:strCache>
                <c:ptCount val="1"/>
                <c:pt idx="0">
                  <c:v>Experiment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'S3'!$W$3:$W$25</c:f>
              <c:numCache>
                <c:formatCode>General</c:formatCode>
                <c:ptCount val="23"/>
                <c:pt idx="0">
                  <c:v>5.5000000000000003E-4</c:v>
                </c:pt>
                <c:pt idx="1">
                  <c:v>6.4999999999999997E-4</c:v>
                </c:pt>
                <c:pt idx="2">
                  <c:v>7.6999999999999996E-4</c:v>
                </c:pt>
                <c:pt idx="3">
                  <c:v>9.2000000000000003E-4</c:v>
                </c:pt>
                <c:pt idx="4">
                  <c:v>1.1200000000000001E-3</c:v>
                </c:pt>
                <c:pt idx="5">
                  <c:v>1.3500000000000001E-3</c:v>
                </c:pt>
                <c:pt idx="6">
                  <c:v>1.65E-3</c:v>
                </c:pt>
                <c:pt idx="7">
                  <c:v>2.0100000000000001E-3</c:v>
                </c:pt>
                <c:pt idx="8">
                  <c:v>2.47E-3</c:v>
                </c:pt>
                <c:pt idx="9">
                  <c:v>2.8899999999999998E-3</c:v>
                </c:pt>
                <c:pt idx="10">
                  <c:v>3.5899999999999999E-3</c:v>
                </c:pt>
                <c:pt idx="11">
                  <c:v>4.47E-3</c:v>
                </c:pt>
                <c:pt idx="12">
                  <c:v>5.5500000000000002E-3</c:v>
                </c:pt>
                <c:pt idx="13">
                  <c:v>6.9099999999999995E-3</c:v>
                </c:pt>
                <c:pt idx="14">
                  <c:v>8.5900000000000004E-3</c:v>
                </c:pt>
                <c:pt idx="15">
                  <c:v>1.068E-2</c:v>
                </c:pt>
                <c:pt idx="16">
                  <c:v>1.328E-2</c:v>
                </c:pt>
                <c:pt idx="17">
                  <c:v>1.651E-2</c:v>
                </c:pt>
                <c:pt idx="18">
                  <c:v>2.053E-2</c:v>
                </c:pt>
                <c:pt idx="19">
                  <c:v>2.5530000000000001E-2</c:v>
                </c:pt>
                <c:pt idx="20">
                  <c:v>3.175E-2</c:v>
                </c:pt>
                <c:pt idx="21">
                  <c:v>3.9480000000000001E-2</c:v>
                </c:pt>
                <c:pt idx="22">
                  <c:v>4.9089999999999995E-2</c:v>
                </c:pt>
              </c:numCache>
            </c:numRef>
          </c:xVal>
          <c:yVal>
            <c:numRef>
              <c:f>'S3'!$AC$3:$AC$25</c:f>
              <c:numCache>
                <c:formatCode>General</c:formatCode>
                <c:ptCount val="23"/>
                <c:pt idx="0">
                  <c:v>310.10000000000002</c:v>
                </c:pt>
                <c:pt idx="1">
                  <c:v>309.733</c:v>
                </c:pt>
                <c:pt idx="2">
                  <c:v>309.43209999999999</c:v>
                </c:pt>
                <c:pt idx="3">
                  <c:v>309.12576999999999</c:v>
                </c:pt>
                <c:pt idx="4">
                  <c:v>308.78263750000002</c:v>
                </c:pt>
                <c:pt idx="5">
                  <c:v>308.45603333333332</c:v>
                </c:pt>
                <c:pt idx="6">
                  <c:v>308.07383157894736</c:v>
                </c:pt>
                <c:pt idx="7">
                  <c:v>307.61406956521739</c:v>
                </c:pt>
                <c:pt idx="8">
                  <c:v>307.14725263157897</c:v>
                </c:pt>
                <c:pt idx="9">
                  <c:v>306.89562105263155</c:v>
                </c:pt>
                <c:pt idx="10">
                  <c:v>306.56462253521124</c:v>
                </c:pt>
                <c:pt idx="11">
                  <c:v>306.12677931034483</c:v>
                </c:pt>
                <c:pt idx="12">
                  <c:v>305.625</c:v>
                </c:pt>
                <c:pt idx="13">
                  <c:v>305.11160970149251</c:v>
                </c:pt>
                <c:pt idx="14">
                  <c:v>304.56600909090912</c:v>
                </c:pt>
                <c:pt idx="15">
                  <c:v>304.10070000000002</c:v>
                </c:pt>
                <c:pt idx="16">
                  <c:v>303.45893581267217</c:v>
                </c:pt>
                <c:pt idx="17">
                  <c:v>302.96158000000003</c:v>
                </c:pt>
                <c:pt idx="18">
                  <c:v>302.35760521920668</c:v>
                </c:pt>
                <c:pt idx="19">
                  <c:v>301.85880739999999</c:v>
                </c:pt>
                <c:pt idx="20">
                  <c:v>301.41651000000002</c:v>
                </c:pt>
                <c:pt idx="21">
                  <c:v>301.14069760000001</c:v>
                </c:pt>
                <c:pt idx="22">
                  <c:v>301.098412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3BC-4EEF-ADDB-E8CE943275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44478464"/>
        <c:axId val="944474624"/>
      </c:scatterChart>
      <c:valAx>
        <c:axId val="944478464"/>
        <c:scaling>
          <c:orientation val="minMax"/>
          <c:max val="6.0000000000000012E-2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ID">
                    <a:solidFill>
                      <a:schemeClr val="tx1"/>
                    </a:solidFill>
                  </a:rPr>
                  <a:t>Y-position (m)</a:t>
                </a:r>
              </a:p>
            </c:rich>
          </c:tx>
          <c:layout>
            <c:manualLayout>
              <c:xMode val="edge"/>
              <c:yMode val="edge"/>
              <c:x val="0.4570261335338327"/>
              <c:y val="0.9211264693226861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944474624"/>
        <c:crosses val="autoZero"/>
        <c:crossBetween val="midCat"/>
      </c:valAx>
      <c:valAx>
        <c:axId val="94447462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ID">
                    <a:solidFill>
                      <a:schemeClr val="tx1"/>
                    </a:solidFill>
                  </a:rPr>
                  <a:t>Velocity (m/s)</a:t>
                </a:r>
              </a:p>
            </c:rich>
          </c:tx>
          <c:layout>
            <c:manualLayout>
              <c:xMode val="edge"/>
              <c:yMode val="edge"/>
              <c:x val="1.4789866693412384E-2"/>
              <c:y val="0.3069738376557128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9444784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529775942672519"/>
          <c:y val="6.8427446514449555E-2"/>
          <c:w val="0.17819485353038192"/>
          <c:h val="0.1421119931397398"/>
        </c:manualLayout>
      </c:layout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3558617003919681E-2"/>
          <c:y val="4.3667043947425752E-2"/>
          <c:w val="0.87779346921771917"/>
          <c:h val="0.81029980413426028"/>
        </c:manualLayout>
      </c:layout>
      <c:lineChart>
        <c:grouping val="standard"/>
        <c:varyColors val="0"/>
        <c:ser>
          <c:idx val="0"/>
          <c:order val="0"/>
          <c:tx>
            <c:strRef>
              <c:f>'S3'!$AJ$1</c:f>
              <c:strCache>
                <c:ptCount val="1"/>
                <c:pt idx="0">
                  <c:v>Cp (Simulation)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'S3'!$AI$2:$AI$39</c:f>
              <c:numCache>
                <c:formatCode>General</c:formatCode>
                <c:ptCount val="38"/>
                <c:pt idx="0">
                  <c:v>-0.1</c:v>
                </c:pt>
                <c:pt idx="1">
                  <c:v>-0.09</c:v>
                </c:pt>
                <c:pt idx="2">
                  <c:v>-0.08</c:v>
                </c:pt>
                <c:pt idx="3">
                  <c:v>-7.0000000000000007E-2</c:v>
                </c:pt>
                <c:pt idx="4">
                  <c:v>-0.06</c:v>
                </c:pt>
                <c:pt idx="5">
                  <c:v>-0.05</c:v>
                </c:pt>
                <c:pt idx="6">
                  <c:v>-0.04</c:v>
                </c:pt>
                <c:pt idx="7">
                  <c:v>-0.03</c:v>
                </c:pt>
                <c:pt idx="8">
                  <c:v>-0.02</c:v>
                </c:pt>
                <c:pt idx="9">
                  <c:v>-0.01</c:v>
                </c:pt>
                <c:pt idx="10">
                  <c:v>0</c:v>
                </c:pt>
                <c:pt idx="11">
                  <c:v>0.01</c:v>
                </c:pt>
                <c:pt idx="12">
                  <c:v>0.02</c:v>
                </c:pt>
                <c:pt idx="13">
                  <c:v>0.03</c:v>
                </c:pt>
                <c:pt idx="14">
                  <c:v>0.04</c:v>
                </c:pt>
                <c:pt idx="15">
                  <c:v>0.05</c:v>
                </c:pt>
                <c:pt idx="16">
                  <c:v>0.06</c:v>
                </c:pt>
                <c:pt idx="17">
                  <c:v>7.0000000000000007E-2</c:v>
                </c:pt>
                <c:pt idx="18">
                  <c:v>0.08</c:v>
                </c:pt>
                <c:pt idx="19">
                  <c:v>0.09</c:v>
                </c:pt>
                <c:pt idx="20">
                  <c:v>0.1</c:v>
                </c:pt>
                <c:pt idx="21">
                  <c:v>0.11</c:v>
                </c:pt>
                <c:pt idx="22">
                  <c:v>0.12</c:v>
                </c:pt>
                <c:pt idx="23">
                  <c:v>0.13</c:v>
                </c:pt>
                <c:pt idx="24">
                  <c:v>0.14000000000000001</c:v>
                </c:pt>
                <c:pt idx="25">
                  <c:v>0.15</c:v>
                </c:pt>
                <c:pt idx="26">
                  <c:v>0.16</c:v>
                </c:pt>
                <c:pt idx="27">
                  <c:v>0.17</c:v>
                </c:pt>
                <c:pt idx="28">
                  <c:v>0.18</c:v>
                </c:pt>
                <c:pt idx="29">
                  <c:v>0.19</c:v>
                </c:pt>
                <c:pt idx="30">
                  <c:v>0.2</c:v>
                </c:pt>
                <c:pt idx="31">
                  <c:v>0.21</c:v>
                </c:pt>
                <c:pt idx="32">
                  <c:v>0.22</c:v>
                </c:pt>
                <c:pt idx="33" formatCode="0.00">
                  <c:v>0.23</c:v>
                </c:pt>
                <c:pt idx="34" formatCode="0.00">
                  <c:v>0.24</c:v>
                </c:pt>
                <c:pt idx="35">
                  <c:v>0.25</c:v>
                </c:pt>
                <c:pt idx="36">
                  <c:v>0.26</c:v>
                </c:pt>
                <c:pt idx="37">
                  <c:v>0.27</c:v>
                </c:pt>
              </c:numCache>
            </c:numRef>
          </c:cat>
          <c:val>
            <c:numRef>
              <c:f>'S3'!$AJ$2:$AJ$39</c:f>
              <c:numCache>
                <c:formatCode>0.0000</c:formatCode>
                <c:ptCount val="38"/>
                <c:pt idx="0">
                  <c:v>0.190945124297385</c:v>
                </c:pt>
                <c:pt idx="1">
                  <c:v>0.19166205974815201</c:v>
                </c:pt>
                <c:pt idx="2">
                  <c:v>0.23035589220133032</c:v>
                </c:pt>
                <c:pt idx="3">
                  <c:v>0.24238812728850601</c:v>
                </c:pt>
                <c:pt idx="4">
                  <c:v>0.25174388344600912</c:v>
                </c:pt>
                <c:pt idx="5">
                  <c:v>0.276595195533125</c:v>
                </c:pt>
                <c:pt idx="6">
                  <c:v>0.26777578555787507</c:v>
                </c:pt>
                <c:pt idx="7">
                  <c:v>0.2782203236045791</c:v>
                </c:pt>
                <c:pt idx="8">
                  <c:v>0.30859709083160197</c:v>
                </c:pt>
                <c:pt idx="9">
                  <c:v>0.28352152794223101</c:v>
                </c:pt>
                <c:pt idx="10">
                  <c:v>0.29886399343459602</c:v>
                </c:pt>
                <c:pt idx="11">
                  <c:v>0.29886399343459602</c:v>
                </c:pt>
                <c:pt idx="12">
                  <c:v>0.30859709083160197</c:v>
                </c:pt>
                <c:pt idx="13">
                  <c:v>0.28183960545877501</c:v>
                </c:pt>
                <c:pt idx="14">
                  <c:v>0.28637763751283402</c:v>
                </c:pt>
                <c:pt idx="15">
                  <c:v>0.25916222226008101</c:v>
                </c:pt>
                <c:pt idx="16">
                  <c:v>0.25916222226008101</c:v>
                </c:pt>
                <c:pt idx="17">
                  <c:v>0.25997116629672001</c:v>
                </c:pt>
                <c:pt idx="18">
                  <c:v>0.234197629672175</c:v>
                </c:pt>
                <c:pt idx="19">
                  <c:v>0.19635649331926899</c:v>
                </c:pt>
                <c:pt idx="20">
                  <c:v>0.19756161514376122</c:v>
                </c:pt>
                <c:pt idx="21">
                  <c:v>0.15308400361086699</c:v>
                </c:pt>
                <c:pt idx="22">
                  <c:v>0.133086881888409</c:v>
                </c:pt>
                <c:pt idx="23">
                  <c:v>0.12087626625553838</c:v>
                </c:pt>
                <c:pt idx="24">
                  <c:v>9.6539640379030803E-2</c:v>
                </c:pt>
                <c:pt idx="25">
                  <c:v>6.9247012361477595E-2</c:v>
                </c:pt>
                <c:pt idx="26">
                  <c:v>1.9153880266429502E-2</c:v>
                </c:pt>
                <c:pt idx="27">
                  <c:v>1.9153880266429502E-2</c:v>
                </c:pt>
                <c:pt idx="28">
                  <c:v>-4.00799253943947E-2</c:v>
                </c:pt>
                <c:pt idx="29">
                  <c:v>-4.00799253943947E-2</c:v>
                </c:pt>
                <c:pt idx="30">
                  <c:v>-5.5875100158716398E-2</c:v>
                </c:pt>
                <c:pt idx="31">
                  <c:v>-9.5846278002778396E-2</c:v>
                </c:pt>
                <c:pt idx="32">
                  <c:v>-0.155826278432806</c:v>
                </c:pt>
                <c:pt idx="33">
                  <c:v>-0.155826278432806</c:v>
                </c:pt>
                <c:pt idx="34">
                  <c:v>-0.20093685750967963</c:v>
                </c:pt>
                <c:pt idx="35">
                  <c:v>-0.21231299429544101</c:v>
                </c:pt>
                <c:pt idx="36">
                  <c:v>-0.26245698812250201</c:v>
                </c:pt>
                <c:pt idx="37">
                  <c:v>-0.30997815358572101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736-451C-AA5C-F582B0F67BA2}"/>
            </c:ext>
          </c:extLst>
        </c:ser>
        <c:ser>
          <c:idx val="1"/>
          <c:order val="1"/>
          <c:tx>
            <c:strRef>
              <c:f>'S3'!$AK$1</c:f>
              <c:strCache>
                <c:ptCount val="1"/>
                <c:pt idx="0">
                  <c:v>Cp (Experiment)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'S3'!$AI$2:$AI$39</c:f>
              <c:numCache>
                <c:formatCode>General</c:formatCode>
                <c:ptCount val="38"/>
                <c:pt idx="0">
                  <c:v>-0.1</c:v>
                </c:pt>
                <c:pt idx="1">
                  <c:v>-0.09</c:v>
                </c:pt>
                <c:pt idx="2">
                  <c:v>-0.08</c:v>
                </c:pt>
                <c:pt idx="3">
                  <c:v>-7.0000000000000007E-2</c:v>
                </c:pt>
                <c:pt idx="4">
                  <c:v>-0.06</c:v>
                </c:pt>
                <c:pt idx="5">
                  <c:v>-0.05</c:v>
                </c:pt>
                <c:pt idx="6">
                  <c:v>-0.04</c:v>
                </c:pt>
                <c:pt idx="7">
                  <c:v>-0.03</c:v>
                </c:pt>
                <c:pt idx="8">
                  <c:v>-0.02</c:v>
                </c:pt>
                <c:pt idx="9">
                  <c:v>-0.01</c:v>
                </c:pt>
                <c:pt idx="10">
                  <c:v>0</c:v>
                </c:pt>
                <c:pt idx="11">
                  <c:v>0.01</c:v>
                </c:pt>
                <c:pt idx="12">
                  <c:v>0.02</c:v>
                </c:pt>
                <c:pt idx="13">
                  <c:v>0.03</c:v>
                </c:pt>
                <c:pt idx="14">
                  <c:v>0.04</c:v>
                </c:pt>
                <c:pt idx="15">
                  <c:v>0.05</c:v>
                </c:pt>
                <c:pt idx="16">
                  <c:v>0.06</c:v>
                </c:pt>
                <c:pt idx="17">
                  <c:v>7.0000000000000007E-2</c:v>
                </c:pt>
                <c:pt idx="18">
                  <c:v>0.08</c:v>
                </c:pt>
                <c:pt idx="19">
                  <c:v>0.09</c:v>
                </c:pt>
                <c:pt idx="20">
                  <c:v>0.1</c:v>
                </c:pt>
                <c:pt idx="21">
                  <c:v>0.11</c:v>
                </c:pt>
                <c:pt idx="22">
                  <c:v>0.12</c:v>
                </c:pt>
                <c:pt idx="23">
                  <c:v>0.13</c:v>
                </c:pt>
                <c:pt idx="24">
                  <c:v>0.14000000000000001</c:v>
                </c:pt>
                <c:pt idx="25">
                  <c:v>0.15</c:v>
                </c:pt>
                <c:pt idx="26">
                  <c:v>0.16</c:v>
                </c:pt>
                <c:pt idx="27">
                  <c:v>0.17</c:v>
                </c:pt>
                <c:pt idx="28">
                  <c:v>0.18</c:v>
                </c:pt>
                <c:pt idx="29">
                  <c:v>0.19</c:v>
                </c:pt>
                <c:pt idx="30">
                  <c:v>0.2</c:v>
                </c:pt>
                <c:pt idx="31">
                  <c:v>0.21</c:v>
                </c:pt>
                <c:pt idx="32">
                  <c:v>0.22</c:v>
                </c:pt>
                <c:pt idx="33" formatCode="0.00">
                  <c:v>0.23</c:v>
                </c:pt>
                <c:pt idx="34" formatCode="0.00">
                  <c:v>0.24</c:v>
                </c:pt>
                <c:pt idx="35">
                  <c:v>0.25</c:v>
                </c:pt>
                <c:pt idx="36">
                  <c:v>0.26</c:v>
                </c:pt>
                <c:pt idx="37">
                  <c:v>0.27</c:v>
                </c:pt>
              </c:numCache>
            </c:numRef>
          </c:cat>
          <c:val>
            <c:numRef>
              <c:f>'S3'!$AK$2:$AK$39</c:f>
              <c:numCache>
                <c:formatCode>General</c:formatCode>
                <c:ptCount val="38"/>
                <c:pt idx="0">
                  <c:v>0.22857</c:v>
                </c:pt>
                <c:pt idx="1">
                  <c:v>0.24381</c:v>
                </c:pt>
                <c:pt idx="2">
                  <c:v>0.25617000000000001</c:v>
                </c:pt>
                <c:pt idx="3">
                  <c:v>0.27006999999999998</c:v>
                </c:pt>
                <c:pt idx="4">
                  <c:v>0.28188999999999997</c:v>
                </c:pt>
                <c:pt idx="5">
                  <c:v>0.29159000000000002</c:v>
                </c:pt>
                <c:pt idx="6">
                  <c:v>0.30005999999999999</c:v>
                </c:pt>
                <c:pt idx="7">
                  <c:v>0.30703999999999998</c:v>
                </c:pt>
                <c:pt idx="8">
                  <c:v>0.31231999999999999</c:v>
                </c:pt>
                <c:pt idx="9">
                  <c:v>0.31662000000000001</c:v>
                </c:pt>
                <c:pt idx="10">
                  <c:v>0.31685000000000002</c:v>
                </c:pt>
                <c:pt idx="11">
                  <c:v>0.31775999999999999</c:v>
                </c:pt>
                <c:pt idx="12">
                  <c:v>0.31574999999999998</c:v>
                </c:pt>
                <c:pt idx="13">
                  <c:v>0.31006</c:v>
                </c:pt>
                <c:pt idx="14">
                  <c:v>0.30473</c:v>
                </c:pt>
                <c:pt idx="15">
                  <c:v>0.29798999999999998</c:v>
                </c:pt>
                <c:pt idx="16">
                  <c:v>0.28905999999999998</c:v>
                </c:pt>
                <c:pt idx="17">
                  <c:v>0.27917999999999998</c:v>
                </c:pt>
                <c:pt idx="18">
                  <c:v>0.26522000000000001</c:v>
                </c:pt>
                <c:pt idx="19">
                  <c:v>0.25381999999999999</c:v>
                </c:pt>
                <c:pt idx="20">
                  <c:v>0.24</c:v>
                </c:pt>
                <c:pt idx="21">
                  <c:v>0.22547</c:v>
                </c:pt>
                <c:pt idx="22">
                  <c:v>0.21098</c:v>
                </c:pt>
                <c:pt idx="23">
                  <c:v>0.19508</c:v>
                </c:pt>
                <c:pt idx="24">
                  <c:v>0.17881</c:v>
                </c:pt>
                <c:pt idx="25">
                  <c:v>0.16117000000000001</c:v>
                </c:pt>
                <c:pt idx="26">
                  <c:v>0.14374999999999999</c:v>
                </c:pt>
                <c:pt idx="27">
                  <c:v>0.12573000000000001</c:v>
                </c:pt>
                <c:pt idx="28">
                  <c:v>0.10644000000000001</c:v>
                </c:pt>
                <c:pt idx="29">
                  <c:v>8.7459999999999996E-2</c:v>
                </c:pt>
                <c:pt idx="30">
                  <c:v>6.7470000000000002E-2</c:v>
                </c:pt>
                <c:pt idx="31">
                  <c:v>4.7289999999999999E-2</c:v>
                </c:pt>
                <c:pt idx="32">
                  <c:v>2.6179999999999998E-2</c:v>
                </c:pt>
                <c:pt idx="33">
                  <c:v>5.0099999999999997E-3</c:v>
                </c:pt>
                <c:pt idx="34">
                  <c:v>-1.6109999999999999E-2</c:v>
                </c:pt>
                <c:pt idx="35">
                  <c:v>-3.8469999999999997E-2</c:v>
                </c:pt>
                <c:pt idx="36">
                  <c:v>-6.0650000000000003E-2</c:v>
                </c:pt>
                <c:pt idx="37">
                  <c:v>-8.4360000000000004E-2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736-451C-AA5C-F582B0F67B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99302096"/>
        <c:axId val="799304976"/>
      </c:lineChart>
      <c:catAx>
        <c:axId val="7993020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ID"/>
                  <a:t>Z-position (m)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#,##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799304976"/>
        <c:crosses val="autoZero"/>
        <c:auto val="1"/>
        <c:lblAlgn val="ctr"/>
        <c:lblOffset val="100"/>
        <c:tickLblSkip val="3"/>
        <c:noMultiLvlLbl val="0"/>
      </c:catAx>
      <c:valAx>
        <c:axId val="79930497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ID"/>
                  <a:t>Cp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0.00" sourceLinked="0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7993020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005966235169892"/>
          <c:y val="4.2481309896138214E-2"/>
          <c:w val="0.86828307581814368"/>
          <c:h val="0.78603590385296662"/>
        </c:manualLayout>
      </c:layout>
      <c:scatterChart>
        <c:scatterStyle val="lineMarker"/>
        <c:varyColors val="0"/>
        <c:ser>
          <c:idx val="0"/>
          <c:order val="0"/>
          <c:tx>
            <c:strRef>
              <c:f>'S4'!$X$2</c:f>
              <c:strCache>
                <c:ptCount val="1"/>
                <c:pt idx="0">
                  <c:v>X-direction (simulation)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'S4'!$W$3:$W$27</c:f>
              <c:numCache>
                <c:formatCode>General</c:formatCode>
                <c:ptCount val="25"/>
                <c:pt idx="0">
                  <c:v>5.5000000000000003E-4</c:v>
                </c:pt>
                <c:pt idx="1">
                  <c:v>6.4999999999999997E-4</c:v>
                </c:pt>
                <c:pt idx="2">
                  <c:v>7.6999999999999996E-4</c:v>
                </c:pt>
                <c:pt idx="3">
                  <c:v>9.2000000000000003E-4</c:v>
                </c:pt>
                <c:pt idx="4">
                  <c:v>1.1200000000000001E-3</c:v>
                </c:pt>
                <c:pt idx="5">
                  <c:v>1.3500000000000001E-3</c:v>
                </c:pt>
                <c:pt idx="6">
                  <c:v>1.65E-3</c:v>
                </c:pt>
                <c:pt idx="7">
                  <c:v>2.0100000000000001E-3</c:v>
                </c:pt>
                <c:pt idx="8">
                  <c:v>2.47E-3</c:v>
                </c:pt>
                <c:pt idx="9">
                  <c:v>2.8899999999999998E-3</c:v>
                </c:pt>
                <c:pt idx="10">
                  <c:v>3.5899999999999999E-3</c:v>
                </c:pt>
                <c:pt idx="11">
                  <c:v>4.47E-3</c:v>
                </c:pt>
                <c:pt idx="12">
                  <c:v>5.5500000000000002E-3</c:v>
                </c:pt>
                <c:pt idx="13">
                  <c:v>6.9099999999999995E-3</c:v>
                </c:pt>
                <c:pt idx="14">
                  <c:v>8.5900000000000004E-3</c:v>
                </c:pt>
                <c:pt idx="15">
                  <c:v>1.068E-2</c:v>
                </c:pt>
                <c:pt idx="16">
                  <c:v>1.328E-2</c:v>
                </c:pt>
                <c:pt idx="17">
                  <c:v>1.651E-2</c:v>
                </c:pt>
                <c:pt idx="18">
                  <c:v>2.053E-2</c:v>
                </c:pt>
                <c:pt idx="19">
                  <c:v>2.5530000000000001E-2</c:v>
                </c:pt>
                <c:pt idx="20">
                  <c:v>3.175E-2</c:v>
                </c:pt>
                <c:pt idx="21">
                  <c:v>3.9480000000000001E-2</c:v>
                </c:pt>
                <c:pt idx="22">
                  <c:v>4.9089999999999995E-2</c:v>
                </c:pt>
                <c:pt idx="23">
                  <c:v>5.9089999999999997E-2</c:v>
                </c:pt>
                <c:pt idx="24">
                  <c:v>5.9299999999999999E-2</c:v>
                </c:pt>
              </c:numCache>
            </c:numRef>
          </c:xVal>
          <c:yVal>
            <c:numRef>
              <c:f>'S4'!$X$3:$X$27</c:f>
              <c:numCache>
                <c:formatCode>General</c:formatCode>
                <c:ptCount val="25"/>
                <c:pt idx="0">
                  <c:v>7.5495131513672398</c:v>
                </c:pt>
                <c:pt idx="1">
                  <c:v>7.7838355030320656</c:v>
                </c:pt>
                <c:pt idx="2">
                  <c:v>8.2771457170632683</c:v>
                </c:pt>
                <c:pt idx="3">
                  <c:v>8.8937834846022721</c:v>
                </c:pt>
                <c:pt idx="4">
                  <c:v>9.7159671746542777</c:v>
                </c:pt>
                <c:pt idx="5">
                  <c:v>9.9872877923714398</c:v>
                </c:pt>
                <c:pt idx="6">
                  <c:v>9.9872877923714398</c:v>
                </c:pt>
                <c:pt idx="7">
                  <c:v>10.561369690623462</c:v>
                </c:pt>
                <c:pt idx="8">
                  <c:v>11.461013184853901</c:v>
                </c:pt>
                <c:pt idx="9">
                  <c:v>11.461013184853901</c:v>
                </c:pt>
                <c:pt idx="10">
                  <c:v>11.536487491075354</c:v>
                </c:pt>
                <c:pt idx="11">
                  <c:v>12.8596464220202</c:v>
                </c:pt>
                <c:pt idx="12">
                  <c:v>13.42879964806469</c:v>
                </c:pt>
                <c:pt idx="13">
                  <c:v>14.444190379975</c:v>
                </c:pt>
                <c:pt idx="14">
                  <c:v>15.256945806649</c:v>
                </c:pt>
                <c:pt idx="15">
                  <c:v>15.300142638391099</c:v>
                </c:pt>
                <c:pt idx="16">
                  <c:v>15.164914124107799</c:v>
                </c:pt>
                <c:pt idx="17" formatCode="0.00000">
                  <c:v>15.164914124107799</c:v>
                </c:pt>
                <c:pt idx="18" formatCode="0.00000">
                  <c:v>15.164914124107799</c:v>
                </c:pt>
                <c:pt idx="19" formatCode="0.00000">
                  <c:v>15.4047308843483</c:v>
                </c:pt>
                <c:pt idx="20" formatCode="0.00000">
                  <c:v>15.428005338625535</c:v>
                </c:pt>
                <c:pt idx="21" formatCode="0.00000">
                  <c:v>15.447726994586301</c:v>
                </c:pt>
                <c:pt idx="22" formatCode="0.00000">
                  <c:v>15.186461047548899</c:v>
                </c:pt>
                <c:pt idx="23" formatCode="0.00000">
                  <c:v>15.329928029193345</c:v>
                </c:pt>
                <c:pt idx="24">
                  <c:v>15.4085913872751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273-423F-88C9-4631FA374445}"/>
            </c:ext>
          </c:extLst>
        </c:ser>
        <c:ser>
          <c:idx val="1"/>
          <c:order val="1"/>
          <c:tx>
            <c:strRef>
              <c:f>'S4'!$Y$2</c:f>
              <c:strCache>
                <c:ptCount val="1"/>
                <c:pt idx="0">
                  <c:v>X-direction (experiment)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'S4'!$W$3:$W$27</c:f>
              <c:numCache>
                <c:formatCode>General</c:formatCode>
                <c:ptCount val="25"/>
                <c:pt idx="0">
                  <c:v>5.5000000000000003E-4</c:v>
                </c:pt>
                <c:pt idx="1">
                  <c:v>6.4999999999999997E-4</c:v>
                </c:pt>
                <c:pt idx="2">
                  <c:v>7.6999999999999996E-4</c:v>
                </c:pt>
                <c:pt idx="3">
                  <c:v>9.2000000000000003E-4</c:v>
                </c:pt>
                <c:pt idx="4">
                  <c:v>1.1200000000000001E-3</c:v>
                </c:pt>
                <c:pt idx="5">
                  <c:v>1.3500000000000001E-3</c:v>
                </c:pt>
                <c:pt idx="6">
                  <c:v>1.65E-3</c:v>
                </c:pt>
                <c:pt idx="7">
                  <c:v>2.0100000000000001E-3</c:v>
                </c:pt>
                <c:pt idx="8">
                  <c:v>2.47E-3</c:v>
                </c:pt>
                <c:pt idx="9">
                  <c:v>2.8899999999999998E-3</c:v>
                </c:pt>
                <c:pt idx="10">
                  <c:v>3.5899999999999999E-3</c:v>
                </c:pt>
                <c:pt idx="11">
                  <c:v>4.47E-3</c:v>
                </c:pt>
                <c:pt idx="12">
                  <c:v>5.5500000000000002E-3</c:v>
                </c:pt>
                <c:pt idx="13">
                  <c:v>6.9099999999999995E-3</c:v>
                </c:pt>
                <c:pt idx="14">
                  <c:v>8.5900000000000004E-3</c:v>
                </c:pt>
                <c:pt idx="15">
                  <c:v>1.068E-2</c:v>
                </c:pt>
                <c:pt idx="16">
                  <c:v>1.328E-2</c:v>
                </c:pt>
                <c:pt idx="17">
                  <c:v>1.651E-2</c:v>
                </c:pt>
                <c:pt idx="18">
                  <c:v>2.053E-2</c:v>
                </c:pt>
                <c:pt idx="19">
                  <c:v>2.5530000000000001E-2</c:v>
                </c:pt>
                <c:pt idx="20">
                  <c:v>3.175E-2</c:v>
                </c:pt>
                <c:pt idx="21">
                  <c:v>3.9480000000000001E-2</c:v>
                </c:pt>
                <c:pt idx="22">
                  <c:v>4.9089999999999995E-2</c:v>
                </c:pt>
                <c:pt idx="23">
                  <c:v>5.9089999999999997E-2</c:v>
                </c:pt>
                <c:pt idx="24">
                  <c:v>5.9299999999999999E-2</c:v>
                </c:pt>
              </c:numCache>
            </c:numRef>
          </c:xVal>
          <c:yVal>
            <c:numRef>
              <c:f>'S4'!$Y$3:$Y$27</c:f>
              <c:numCache>
                <c:formatCode>General</c:formatCode>
                <c:ptCount val="25"/>
                <c:pt idx="0">
                  <c:v>2.9705300000000001</c:v>
                </c:pt>
                <c:pt idx="1">
                  <c:v>3.1502699999999999</c:v>
                </c:pt>
                <c:pt idx="2">
                  <c:v>3.54583</c:v>
                </c:pt>
                <c:pt idx="3">
                  <c:v>3.8060999999999998</c:v>
                </c:pt>
                <c:pt idx="4">
                  <c:v>4.0380200000000004</c:v>
                </c:pt>
                <c:pt idx="5">
                  <c:v>4.1408100000000001</c:v>
                </c:pt>
                <c:pt idx="6">
                  <c:v>4.4088399999999996</c:v>
                </c:pt>
                <c:pt idx="7">
                  <c:v>4.65116</c:v>
                </c:pt>
                <c:pt idx="8">
                  <c:v>4.9020799999999998</c:v>
                </c:pt>
                <c:pt idx="9">
                  <c:v>5.1833499999999999</c:v>
                </c:pt>
                <c:pt idx="10">
                  <c:v>5.5609000000000002</c:v>
                </c:pt>
                <c:pt idx="11">
                  <c:v>5.9095399999999998</c:v>
                </c:pt>
                <c:pt idx="12">
                  <c:v>6.3932500000000001</c:v>
                </c:pt>
                <c:pt idx="13">
                  <c:v>6.9326600000000003</c:v>
                </c:pt>
                <c:pt idx="14">
                  <c:v>7.57111</c:v>
                </c:pt>
                <c:pt idx="15">
                  <c:v>8.1365099999999995</c:v>
                </c:pt>
                <c:pt idx="16">
                  <c:v>9.0546199999999999</c:v>
                </c:pt>
                <c:pt idx="17">
                  <c:v>10.05505</c:v>
                </c:pt>
                <c:pt idx="18">
                  <c:v>11.138489999999999</c:v>
                </c:pt>
                <c:pt idx="19">
                  <c:v>12.20931</c:v>
                </c:pt>
                <c:pt idx="20">
                  <c:v>13.19458</c:v>
                </c:pt>
                <c:pt idx="21">
                  <c:v>13.969900000000001</c:v>
                </c:pt>
                <c:pt idx="22">
                  <c:v>14.169169999999999</c:v>
                </c:pt>
                <c:pt idx="23">
                  <c:v>14.16681</c:v>
                </c:pt>
                <c:pt idx="24">
                  <c:v>14.160410000000001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273-423F-88C9-4631FA374445}"/>
            </c:ext>
          </c:extLst>
        </c:ser>
        <c:ser>
          <c:idx val="2"/>
          <c:order val="2"/>
          <c:tx>
            <c:strRef>
              <c:f>'S4'!$Z$2</c:f>
              <c:strCache>
                <c:ptCount val="1"/>
                <c:pt idx="0">
                  <c:v>Z-direction (simulation)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'S4'!$W$3:$W$27</c:f>
              <c:numCache>
                <c:formatCode>General</c:formatCode>
                <c:ptCount val="25"/>
                <c:pt idx="0">
                  <c:v>5.5000000000000003E-4</c:v>
                </c:pt>
                <c:pt idx="1">
                  <c:v>6.4999999999999997E-4</c:v>
                </c:pt>
                <c:pt idx="2">
                  <c:v>7.6999999999999996E-4</c:v>
                </c:pt>
                <c:pt idx="3">
                  <c:v>9.2000000000000003E-4</c:v>
                </c:pt>
                <c:pt idx="4">
                  <c:v>1.1200000000000001E-3</c:v>
                </c:pt>
                <c:pt idx="5">
                  <c:v>1.3500000000000001E-3</c:v>
                </c:pt>
                <c:pt idx="6">
                  <c:v>1.65E-3</c:v>
                </c:pt>
                <c:pt idx="7">
                  <c:v>2.0100000000000001E-3</c:v>
                </c:pt>
                <c:pt idx="8">
                  <c:v>2.47E-3</c:v>
                </c:pt>
                <c:pt idx="9">
                  <c:v>2.8899999999999998E-3</c:v>
                </c:pt>
                <c:pt idx="10">
                  <c:v>3.5899999999999999E-3</c:v>
                </c:pt>
                <c:pt idx="11">
                  <c:v>4.47E-3</c:v>
                </c:pt>
                <c:pt idx="12">
                  <c:v>5.5500000000000002E-3</c:v>
                </c:pt>
                <c:pt idx="13">
                  <c:v>6.9099999999999995E-3</c:v>
                </c:pt>
                <c:pt idx="14">
                  <c:v>8.5900000000000004E-3</c:v>
                </c:pt>
                <c:pt idx="15">
                  <c:v>1.068E-2</c:v>
                </c:pt>
                <c:pt idx="16">
                  <c:v>1.328E-2</c:v>
                </c:pt>
                <c:pt idx="17">
                  <c:v>1.651E-2</c:v>
                </c:pt>
                <c:pt idx="18">
                  <c:v>2.053E-2</c:v>
                </c:pt>
                <c:pt idx="19">
                  <c:v>2.5530000000000001E-2</c:v>
                </c:pt>
                <c:pt idx="20">
                  <c:v>3.175E-2</c:v>
                </c:pt>
                <c:pt idx="21">
                  <c:v>3.9480000000000001E-2</c:v>
                </c:pt>
                <c:pt idx="22">
                  <c:v>4.9089999999999995E-2</c:v>
                </c:pt>
                <c:pt idx="23">
                  <c:v>5.9089999999999997E-2</c:v>
                </c:pt>
                <c:pt idx="24">
                  <c:v>5.9299999999999999E-2</c:v>
                </c:pt>
              </c:numCache>
            </c:numRef>
          </c:xVal>
          <c:yVal>
            <c:numRef>
              <c:f>'S4'!$Z$3:$Z$27</c:f>
              <c:numCache>
                <c:formatCode>0.00000</c:formatCode>
                <c:ptCount val="25"/>
                <c:pt idx="0">
                  <c:v>5.7267964476958996E-3</c:v>
                </c:pt>
                <c:pt idx="1">
                  <c:v>7.1518722891391303E-3</c:v>
                </c:pt>
                <c:pt idx="2">
                  <c:v>1.0152031955335355E-2</c:v>
                </c:pt>
                <c:pt idx="3">
                  <c:v>1.3902231538080637E-2</c:v>
                </c:pt>
                <c:pt idx="4">
                  <c:v>1.8902497648407679E-2</c:v>
                </c:pt>
                <c:pt idx="5">
                  <c:v>2.0552585464815601E-2</c:v>
                </c:pt>
                <c:pt idx="6">
                  <c:v>2.0552585464815601E-2</c:v>
                </c:pt>
                <c:pt idx="7">
                  <c:v>2.7986973255957202E-2</c:v>
                </c:pt>
                <c:pt idx="8">
                  <c:v>3.9637399145105501E-2</c:v>
                </c:pt>
                <c:pt idx="9">
                  <c:v>3.9637399145105501E-2</c:v>
                </c:pt>
                <c:pt idx="10">
                  <c:v>4.0945274256218224E-2</c:v>
                </c:pt>
                <c:pt idx="11">
                  <c:v>6.3873959797913202E-2</c:v>
                </c:pt>
                <c:pt idx="12">
                  <c:v>7.4109185593980803E-2</c:v>
                </c:pt>
                <c:pt idx="13">
                  <c:v>9.2369212835790707E-2</c:v>
                </c:pt>
                <c:pt idx="14">
                  <c:v>0.122045450108311</c:v>
                </c:pt>
                <c:pt idx="15">
                  <c:v>0.127913050572902</c:v>
                </c:pt>
                <c:pt idx="16">
                  <c:v>0.108990520762791</c:v>
                </c:pt>
                <c:pt idx="17">
                  <c:v>0.108990520762791</c:v>
                </c:pt>
                <c:pt idx="18">
                  <c:v>0.108990520762791</c:v>
                </c:pt>
                <c:pt idx="19">
                  <c:v>6.8562764371433202E-2</c:v>
                </c:pt>
                <c:pt idx="20">
                  <c:v>5.5578389153630905E-2</c:v>
                </c:pt>
                <c:pt idx="21">
                  <c:v>4.4576052520480899E-2</c:v>
                </c:pt>
                <c:pt idx="22">
                  <c:v>2.8151159501922401E-2</c:v>
                </c:pt>
                <c:pt idx="23">
                  <c:v>2.8751828822036578E-3</c:v>
                </c:pt>
                <c:pt idx="24">
                  <c:v>-1.0983707692567001E-2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273-423F-88C9-4631FA374445}"/>
            </c:ext>
          </c:extLst>
        </c:ser>
        <c:ser>
          <c:idx val="3"/>
          <c:order val="3"/>
          <c:tx>
            <c:strRef>
              <c:f>'S4'!$AA$2</c:f>
              <c:strCache>
                <c:ptCount val="1"/>
                <c:pt idx="0">
                  <c:v>Z-direction (experiment)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'S4'!$W$3:$W$27</c:f>
              <c:numCache>
                <c:formatCode>General</c:formatCode>
                <c:ptCount val="25"/>
                <c:pt idx="0">
                  <c:v>5.5000000000000003E-4</c:v>
                </c:pt>
                <c:pt idx="1">
                  <c:v>6.4999999999999997E-4</c:v>
                </c:pt>
                <c:pt idx="2">
                  <c:v>7.6999999999999996E-4</c:v>
                </c:pt>
                <c:pt idx="3">
                  <c:v>9.2000000000000003E-4</c:v>
                </c:pt>
                <c:pt idx="4">
                  <c:v>1.1200000000000001E-3</c:v>
                </c:pt>
                <c:pt idx="5">
                  <c:v>1.3500000000000001E-3</c:v>
                </c:pt>
                <c:pt idx="6">
                  <c:v>1.65E-3</c:v>
                </c:pt>
                <c:pt idx="7">
                  <c:v>2.0100000000000001E-3</c:v>
                </c:pt>
                <c:pt idx="8">
                  <c:v>2.47E-3</c:v>
                </c:pt>
                <c:pt idx="9">
                  <c:v>2.8899999999999998E-3</c:v>
                </c:pt>
                <c:pt idx="10">
                  <c:v>3.5899999999999999E-3</c:v>
                </c:pt>
                <c:pt idx="11">
                  <c:v>4.47E-3</c:v>
                </c:pt>
                <c:pt idx="12">
                  <c:v>5.5500000000000002E-3</c:v>
                </c:pt>
                <c:pt idx="13">
                  <c:v>6.9099999999999995E-3</c:v>
                </c:pt>
                <c:pt idx="14">
                  <c:v>8.5900000000000004E-3</c:v>
                </c:pt>
                <c:pt idx="15">
                  <c:v>1.068E-2</c:v>
                </c:pt>
                <c:pt idx="16">
                  <c:v>1.328E-2</c:v>
                </c:pt>
                <c:pt idx="17">
                  <c:v>1.651E-2</c:v>
                </c:pt>
                <c:pt idx="18">
                  <c:v>2.053E-2</c:v>
                </c:pt>
                <c:pt idx="19">
                  <c:v>2.5530000000000001E-2</c:v>
                </c:pt>
                <c:pt idx="20">
                  <c:v>3.175E-2</c:v>
                </c:pt>
                <c:pt idx="21">
                  <c:v>3.9480000000000001E-2</c:v>
                </c:pt>
                <c:pt idx="22">
                  <c:v>4.9089999999999995E-2</c:v>
                </c:pt>
                <c:pt idx="23">
                  <c:v>5.9089999999999997E-2</c:v>
                </c:pt>
                <c:pt idx="24">
                  <c:v>5.9299999999999999E-2</c:v>
                </c:pt>
              </c:numCache>
            </c:numRef>
          </c:xVal>
          <c:yVal>
            <c:numRef>
              <c:f>'S4'!$AA$3:$AA$27</c:f>
              <c:numCache>
                <c:formatCode>General</c:formatCode>
                <c:ptCount val="25"/>
                <c:pt idx="0">
                  <c:v>5.0477299999999996</c:v>
                </c:pt>
                <c:pt idx="1">
                  <c:v>5.25176</c:v>
                </c:pt>
                <c:pt idx="2">
                  <c:v>5.5945099999999996</c:v>
                </c:pt>
                <c:pt idx="3">
                  <c:v>5.8950100000000001</c:v>
                </c:pt>
                <c:pt idx="4">
                  <c:v>6.1171300000000004</c:v>
                </c:pt>
                <c:pt idx="5">
                  <c:v>6.2508699999999999</c:v>
                </c:pt>
                <c:pt idx="6">
                  <c:v>6.3801100000000002</c:v>
                </c:pt>
                <c:pt idx="7">
                  <c:v>6.4352799999999997</c:v>
                </c:pt>
                <c:pt idx="8">
                  <c:v>6.4500500000000001</c:v>
                </c:pt>
                <c:pt idx="9">
                  <c:v>6.4304899999999998</c:v>
                </c:pt>
                <c:pt idx="10">
                  <c:v>6.4052800000000003</c:v>
                </c:pt>
                <c:pt idx="11">
                  <c:v>6.3033200000000003</c:v>
                </c:pt>
                <c:pt idx="12">
                  <c:v>6.1859200000000003</c:v>
                </c:pt>
                <c:pt idx="13">
                  <c:v>6.0489499999999996</c:v>
                </c:pt>
                <c:pt idx="14">
                  <c:v>5.86937</c:v>
                </c:pt>
                <c:pt idx="15">
                  <c:v>5.8766600000000002</c:v>
                </c:pt>
                <c:pt idx="16">
                  <c:v>5.6990800000000004</c:v>
                </c:pt>
                <c:pt idx="17">
                  <c:v>5.4567199999999998</c:v>
                </c:pt>
                <c:pt idx="18">
                  <c:v>5.2038700000000002</c:v>
                </c:pt>
                <c:pt idx="19">
                  <c:v>4.9142000000000001</c:v>
                </c:pt>
                <c:pt idx="20">
                  <c:v>4.6368900000000002</c:v>
                </c:pt>
                <c:pt idx="21">
                  <c:v>4.4930599999999998</c:v>
                </c:pt>
                <c:pt idx="22">
                  <c:v>4.4709500000000002</c:v>
                </c:pt>
                <c:pt idx="23">
                  <c:v>4.4767099999999997</c:v>
                </c:pt>
                <c:pt idx="24">
                  <c:v>4.4720500000000003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273-423F-88C9-4631FA3744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44478464"/>
        <c:axId val="944474624"/>
      </c:scatterChart>
      <c:valAx>
        <c:axId val="944478464"/>
        <c:scaling>
          <c:orientation val="minMax"/>
          <c:max val="6.0000000000000012E-2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ID">
                    <a:solidFill>
                      <a:schemeClr val="tx1"/>
                    </a:solidFill>
                  </a:rPr>
                  <a:t>Y-position (m)</a:t>
                </a:r>
              </a:p>
            </c:rich>
          </c:tx>
          <c:layout>
            <c:manualLayout>
              <c:xMode val="edge"/>
              <c:yMode val="edge"/>
              <c:x val="0.4570261335338327"/>
              <c:y val="0.9211264693226861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944474624"/>
        <c:crosses val="autoZero"/>
        <c:crossBetween val="midCat"/>
      </c:valAx>
      <c:valAx>
        <c:axId val="94447462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ID">
                    <a:solidFill>
                      <a:schemeClr val="tx1"/>
                    </a:solidFill>
                  </a:rPr>
                  <a:t>Velocity (m/s)</a:t>
                </a:r>
              </a:p>
            </c:rich>
          </c:tx>
          <c:layout>
            <c:manualLayout>
              <c:xMode val="edge"/>
              <c:yMode val="edge"/>
              <c:x val="1.4789866693412384E-2"/>
              <c:y val="0.3069738376557128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9444784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750890289985142"/>
          <c:y val="0.2610901032834429"/>
          <c:w val="0.28063047882430131"/>
          <c:h val="0.24638429924844268"/>
        </c:manualLayout>
      </c:layout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005966235169892"/>
          <c:y val="4.2481309896138214E-2"/>
          <c:w val="0.86828307581814368"/>
          <c:h val="0.78603590385296662"/>
        </c:manualLayout>
      </c:layout>
      <c:scatterChart>
        <c:scatterStyle val="lineMarker"/>
        <c:varyColors val="0"/>
        <c:ser>
          <c:idx val="0"/>
          <c:order val="0"/>
          <c:tx>
            <c:strRef>
              <c:f>'S4'!$AB$2</c:f>
              <c:strCache>
                <c:ptCount val="1"/>
                <c:pt idx="0">
                  <c:v>Simulation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'S4'!$W$3:$W$25</c:f>
              <c:numCache>
                <c:formatCode>General</c:formatCode>
                <c:ptCount val="23"/>
                <c:pt idx="0">
                  <c:v>5.5000000000000003E-4</c:v>
                </c:pt>
                <c:pt idx="1">
                  <c:v>6.4999999999999997E-4</c:v>
                </c:pt>
                <c:pt idx="2">
                  <c:v>7.6999999999999996E-4</c:v>
                </c:pt>
                <c:pt idx="3">
                  <c:v>9.2000000000000003E-4</c:v>
                </c:pt>
                <c:pt idx="4">
                  <c:v>1.1200000000000001E-3</c:v>
                </c:pt>
                <c:pt idx="5">
                  <c:v>1.3500000000000001E-3</c:v>
                </c:pt>
                <c:pt idx="6">
                  <c:v>1.65E-3</c:v>
                </c:pt>
                <c:pt idx="7">
                  <c:v>2.0100000000000001E-3</c:v>
                </c:pt>
                <c:pt idx="8">
                  <c:v>2.47E-3</c:v>
                </c:pt>
                <c:pt idx="9">
                  <c:v>2.8899999999999998E-3</c:v>
                </c:pt>
                <c:pt idx="10">
                  <c:v>3.5899999999999999E-3</c:v>
                </c:pt>
                <c:pt idx="11">
                  <c:v>4.47E-3</c:v>
                </c:pt>
                <c:pt idx="12">
                  <c:v>5.5500000000000002E-3</c:v>
                </c:pt>
                <c:pt idx="13">
                  <c:v>6.9099999999999995E-3</c:v>
                </c:pt>
                <c:pt idx="14">
                  <c:v>8.5900000000000004E-3</c:v>
                </c:pt>
                <c:pt idx="15">
                  <c:v>1.068E-2</c:v>
                </c:pt>
                <c:pt idx="16">
                  <c:v>1.328E-2</c:v>
                </c:pt>
                <c:pt idx="17">
                  <c:v>1.651E-2</c:v>
                </c:pt>
                <c:pt idx="18">
                  <c:v>2.053E-2</c:v>
                </c:pt>
                <c:pt idx="19">
                  <c:v>2.5530000000000001E-2</c:v>
                </c:pt>
                <c:pt idx="20">
                  <c:v>3.175E-2</c:v>
                </c:pt>
                <c:pt idx="21">
                  <c:v>3.9480000000000001E-2</c:v>
                </c:pt>
                <c:pt idx="22">
                  <c:v>4.9089999999999995E-2</c:v>
                </c:pt>
              </c:numCache>
            </c:numRef>
          </c:xVal>
          <c:yVal>
            <c:numRef>
              <c:f>'S4'!$AB$3:$AB$25</c:f>
              <c:numCache>
                <c:formatCode>General</c:formatCode>
                <c:ptCount val="23"/>
                <c:pt idx="0">
                  <c:v>305.29717148672898</c:v>
                </c:pt>
                <c:pt idx="1">
                  <c:v>305.09053913983479</c:v>
                </c:pt>
                <c:pt idx="2">
                  <c:v>304.65552367268918</c:v>
                </c:pt>
                <c:pt idx="3">
                  <c:v>304.11175433875718</c:v>
                </c:pt>
                <c:pt idx="4">
                  <c:v>303.3867285601811</c:v>
                </c:pt>
                <c:pt idx="5">
                  <c:v>303.14747005325103</c:v>
                </c:pt>
                <c:pt idx="6">
                  <c:v>303.14747005325103</c:v>
                </c:pt>
                <c:pt idx="7">
                  <c:v>302.72780781864077</c:v>
                </c:pt>
                <c:pt idx="8">
                  <c:v>302.07015531245497</c:v>
                </c:pt>
                <c:pt idx="9">
                  <c:v>302.07015531245497</c:v>
                </c:pt>
                <c:pt idx="10">
                  <c:v>302.02420454035928</c:v>
                </c:pt>
                <c:pt idx="11">
                  <c:v>301.21863006705701</c:v>
                </c:pt>
                <c:pt idx="12">
                  <c:v>300.93238559799198</c:v>
                </c:pt>
                <c:pt idx="13">
                  <c:v>300.42171471421398</c:v>
                </c:pt>
                <c:pt idx="14">
                  <c:v>300.04885375636502</c:v>
                </c:pt>
                <c:pt idx="15">
                  <c:v>300.00313061301</c:v>
                </c:pt>
                <c:pt idx="16">
                  <c:v>300.00473433412401</c:v>
                </c:pt>
                <c:pt idx="17">
                  <c:v>300.00473433412401</c:v>
                </c:pt>
                <c:pt idx="18">
                  <c:v>300.00473433412401</c:v>
                </c:pt>
                <c:pt idx="19">
                  <c:v>300.00062432441803</c:v>
                </c:pt>
                <c:pt idx="20">
                  <c:v>300.00059429467046</c:v>
                </c:pt>
                <c:pt idx="21">
                  <c:v>300.00056884890301</c:v>
                </c:pt>
                <c:pt idx="22">
                  <c:v>300.00540181362999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176-4F76-9B23-570E1EC61C73}"/>
            </c:ext>
          </c:extLst>
        </c:ser>
        <c:ser>
          <c:idx val="1"/>
          <c:order val="1"/>
          <c:tx>
            <c:strRef>
              <c:f>'S4'!$AC$2</c:f>
              <c:strCache>
                <c:ptCount val="1"/>
                <c:pt idx="0">
                  <c:v>Experiment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'S4'!$W$3:$W$25</c:f>
              <c:numCache>
                <c:formatCode>General</c:formatCode>
                <c:ptCount val="23"/>
                <c:pt idx="0">
                  <c:v>5.5000000000000003E-4</c:v>
                </c:pt>
                <c:pt idx="1">
                  <c:v>6.4999999999999997E-4</c:v>
                </c:pt>
                <c:pt idx="2">
                  <c:v>7.6999999999999996E-4</c:v>
                </c:pt>
                <c:pt idx="3">
                  <c:v>9.2000000000000003E-4</c:v>
                </c:pt>
                <c:pt idx="4">
                  <c:v>1.1200000000000001E-3</c:v>
                </c:pt>
                <c:pt idx="5">
                  <c:v>1.3500000000000001E-3</c:v>
                </c:pt>
                <c:pt idx="6">
                  <c:v>1.65E-3</c:v>
                </c:pt>
                <c:pt idx="7">
                  <c:v>2.0100000000000001E-3</c:v>
                </c:pt>
                <c:pt idx="8">
                  <c:v>2.47E-3</c:v>
                </c:pt>
                <c:pt idx="9">
                  <c:v>2.8899999999999998E-3</c:v>
                </c:pt>
                <c:pt idx="10">
                  <c:v>3.5899999999999999E-3</c:v>
                </c:pt>
                <c:pt idx="11">
                  <c:v>4.47E-3</c:v>
                </c:pt>
                <c:pt idx="12">
                  <c:v>5.5500000000000002E-3</c:v>
                </c:pt>
                <c:pt idx="13">
                  <c:v>6.9099999999999995E-3</c:v>
                </c:pt>
                <c:pt idx="14">
                  <c:v>8.5900000000000004E-3</c:v>
                </c:pt>
                <c:pt idx="15">
                  <c:v>1.068E-2</c:v>
                </c:pt>
                <c:pt idx="16">
                  <c:v>1.328E-2</c:v>
                </c:pt>
                <c:pt idx="17">
                  <c:v>1.651E-2</c:v>
                </c:pt>
                <c:pt idx="18">
                  <c:v>2.053E-2</c:v>
                </c:pt>
                <c:pt idx="19">
                  <c:v>2.5530000000000001E-2</c:v>
                </c:pt>
                <c:pt idx="20">
                  <c:v>3.175E-2</c:v>
                </c:pt>
                <c:pt idx="21">
                  <c:v>3.9480000000000001E-2</c:v>
                </c:pt>
                <c:pt idx="22">
                  <c:v>4.9089999999999995E-2</c:v>
                </c:pt>
              </c:numCache>
            </c:numRef>
          </c:xVal>
          <c:yVal>
            <c:numRef>
              <c:f>'S4'!$AC$3:$AC$25</c:f>
              <c:numCache>
                <c:formatCode>General</c:formatCode>
                <c:ptCount val="23"/>
                <c:pt idx="0">
                  <c:v>310.1096769230769</c:v>
                </c:pt>
                <c:pt idx="1">
                  <c:v>309.85144615384615</c:v>
                </c:pt>
                <c:pt idx="2">
                  <c:v>309.53542500000003</c:v>
                </c:pt>
                <c:pt idx="3">
                  <c:v>309.17263500000001</c:v>
                </c:pt>
                <c:pt idx="4">
                  <c:v>308.78108750000001</c:v>
                </c:pt>
                <c:pt idx="5">
                  <c:v>308.43520000000001</c:v>
                </c:pt>
                <c:pt idx="6">
                  <c:v>308.05517368421056</c:v>
                </c:pt>
                <c:pt idx="7">
                  <c:v>307.7077695652174</c:v>
                </c:pt>
                <c:pt idx="8">
                  <c:v>307.3383</c:v>
                </c:pt>
                <c:pt idx="9">
                  <c:v>307.01210000000003</c:v>
                </c:pt>
                <c:pt idx="10">
                  <c:v>306.62001690140846</c:v>
                </c:pt>
                <c:pt idx="11">
                  <c:v>306.2254344827586</c:v>
                </c:pt>
                <c:pt idx="12">
                  <c:v>305.83665833333333</c:v>
                </c:pt>
                <c:pt idx="13">
                  <c:v>305.3736686567164</c:v>
                </c:pt>
                <c:pt idx="14">
                  <c:v>304.9096381818182</c:v>
                </c:pt>
                <c:pt idx="15">
                  <c:v>304.4511</c:v>
                </c:pt>
                <c:pt idx="16">
                  <c:v>303.8969388429752</c:v>
                </c:pt>
                <c:pt idx="17">
                  <c:v>303.33391999999998</c:v>
                </c:pt>
                <c:pt idx="18">
                  <c:v>302.64813716075156</c:v>
                </c:pt>
                <c:pt idx="19">
                  <c:v>302.038746</c:v>
                </c:pt>
                <c:pt idx="20">
                  <c:v>301.45416499999999</c:v>
                </c:pt>
                <c:pt idx="21">
                  <c:v>301.012</c:v>
                </c:pt>
                <c:pt idx="22">
                  <c:v>300.86788480000001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176-4F76-9B23-570E1EC61C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44478464"/>
        <c:axId val="944474624"/>
      </c:scatterChart>
      <c:valAx>
        <c:axId val="944478464"/>
        <c:scaling>
          <c:orientation val="minMax"/>
          <c:max val="6.0000000000000012E-2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ID">
                    <a:solidFill>
                      <a:schemeClr val="tx1"/>
                    </a:solidFill>
                  </a:rPr>
                  <a:t>Y-position (m)</a:t>
                </a:r>
              </a:p>
            </c:rich>
          </c:tx>
          <c:layout>
            <c:manualLayout>
              <c:xMode val="edge"/>
              <c:yMode val="edge"/>
              <c:x val="0.4570261335338327"/>
              <c:y val="0.9211264693226861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944474624"/>
        <c:crosses val="autoZero"/>
        <c:crossBetween val="midCat"/>
      </c:valAx>
      <c:valAx>
        <c:axId val="94447462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ID">
                    <a:solidFill>
                      <a:schemeClr val="tx1"/>
                    </a:solidFill>
                  </a:rPr>
                  <a:t>Velocity (m/s)</a:t>
                </a:r>
              </a:p>
            </c:rich>
          </c:tx>
          <c:layout>
            <c:manualLayout>
              <c:xMode val="edge"/>
              <c:yMode val="edge"/>
              <c:x val="1.4789866693412384E-2"/>
              <c:y val="0.3069738376557128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9444784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529775942672519"/>
          <c:y val="6.8427446514449555E-2"/>
          <c:w val="0.17819485353038192"/>
          <c:h val="0.1421119931397398"/>
        </c:manualLayout>
      </c:layout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3558617003919681E-2"/>
          <c:y val="4.3667043947425752E-2"/>
          <c:w val="0.87779346921771917"/>
          <c:h val="0.81029980413426028"/>
        </c:manualLayout>
      </c:layout>
      <c:lineChart>
        <c:grouping val="standard"/>
        <c:varyColors val="0"/>
        <c:ser>
          <c:idx val="0"/>
          <c:order val="0"/>
          <c:tx>
            <c:strRef>
              <c:f>'S4'!$AJ$1</c:f>
              <c:strCache>
                <c:ptCount val="1"/>
                <c:pt idx="0">
                  <c:v>Cp (Simulation)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'S4'!$AI$2:$AI$39</c:f>
              <c:numCache>
                <c:formatCode>General</c:formatCode>
                <c:ptCount val="38"/>
                <c:pt idx="0">
                  <c:v>-0.1</c:v>
                </c:pt>
                <c:pt idx="1">
                  <c:v>-0.09</c:v>
                </c:pt>
                <c:pt idx="2">
                  <c:v>-0.08</c:v>
                </c:pt>
                <c:pt idx="3">
                  <c:v>-7.0000000000000007E-2</c:v>
                </c:pt>
                <c:pt idx="4">
                  <c:v>-0.06</c:v>
                </c:pt>
                <c:pt idx="5">
                  <c:v>-0.05</c:v>
                </c:pt>
                <c:pt idx="6">
                  <c:v>-0.04</c:v>
                </c:pt>
                <c:pt idx="7">
                  <c:v>-0.03</c:v>
                </c:pt>
                <c:pt idx="8">
                  <c:v>-0.02</c:v>
                </c:pt>
                <c:pt idx="9">
                  <c:v>-0.01</c:v>
                </c:pt>
                <c:pt idx="10">
                  <c:v>0</c:v>
                </c:pt>
                <c:pt idx="11">
                  <c:v>0.01</c:v>
                </c:pt>
                <c:pt idx="12">
                  <c:v>0.02</c:v>
                </c:pt>
                <c:pt idx="13">
                  <c:v>0.03</c:v>
                </c:pt>
                <c:pt idx="14">
                  <c:v>0.04</c:v>
                </c:pt>
                <c:pt idx="15">
                  <c:v>0.05</c:v>
                </c:pt>
                <c:pt idx="16">
                  <c:v>0.06</c:v>
                </c:pt>
                <c:pt idx="17">
                  <c:v>7.0000000000000007E-2</c:v>
                </c:pt>
                <c:pt idx="18">
                  <c:v>0.08</c:v>
                </c:pt>
                <c:pt idx="19">
                  <c:v>0.09</c:v>
                </c:pt>
                <c:pt idx="20">
                  <c:v>0.1</c:v>
                </c:pt>
                <c:pt idx="21">
                  <c:v>0.11</c:v>
                </c:pt>
                <c:pt idx="22">
                  <c:v>0.12</c:v>
                </c:pt>
                <c:pt idx="23">
                  <c:v>0.13</c:v>
                </c:pt>
                <c:pt idx="24">
                  <c:v>0.14000000000000001</c:v>
                </c:pt>
                <c:pt idx="25">
                  <c:v>0.15</c:v>
                </c:pt>
                <c:pt idx="26">
                  <c:v>0.16</c:v>
                </c:pt>
                <c:pt idx="27">
                  <c:v>0.17</c:v>
                </c:pt>
                <c:pt idx="28">
                  <c:v>0.18</c:v>
                </c:pt>
                <c:pt idx="29">
                  <c:v>0.19</c:v>
                </c:pt>
                <c:pt idx="30">
                  <c:v>0.2</c:v>
                </c:pt>
                <c:pt idx="31">
                  <c:v>0.21</c:v>
                </c:pt>
                <c:pt idx="32">
                  <c:v>0.22</c:v>
                </c:pt>
                <c:pt idx="33" formatCode="0.00">
                  <c:v>0.23</c:v>
                </c:pt>
                <c:pt idx="34" formatCode="0.00">
                  <c:v>0.24</c:v>
                </c:pt>
                <c:pt idx="35">
                  <c:v>0.25</c:v>
                </c:pt>
                <c:pt idx="36">
                  <c:v>0.26</c:v>
                </c:pt>
                <c:pt idx="37">
                  <c:v>0.27</c:v>
                </c:pt>
              </c:numCache>
            </c:numRef>
          </c:cat>
          <c:val>
            <c:numRef>
              <c:f>'S4'!$AJ$2:$AJ$39</c:f>
              <c:numCache>
                <c:formatCode>0.0000</c:formatCode>
                <c:ptCount val="38"/>
                <c:pt idx="0">
                  <c:v>0.31015912816138302</c:v>
                </c:pt>
                <c:pt idx="1">
                  <c:v>0.31015912816138302</c:v>
                </c:pt>
                <c:pt idx="2">
                  <c:v>0.36409514887850403</c:v>
                </c:pt>
                <c:pt idx="3">
                  <c:v>0.42062504016364</c:v>
                </c:pt>
                <c:pt idx="4">
                  <c:v>0.41811304857541198</c:v>
                </c:pt>
                <c:pt idx="5">
                  <c:v>0.45275324256332022</c:v>
                </c:pt>
                <c:pt idx="6">
                  <c:v>0.46881750316382897</c:v>
                </c:pt>
                <c:pt idx="7">
                  <c:v>0.51377035600739196</c:v>
                </c:pt>
                <c:pt idx="8">
                  <c:v>0.51377035600739196</c:v>
                </c:pt>
                <c:pt idx="9">
                  <c:v>0.51145508083347502</c:v>
                </c:pt>
                <c:pt idx="10">
                  <c:v>0.53912446047368501</c:v>
                </c:pt>
                <c:pt idx="11">
                  <c:v>0.54893390866986791</c:v>
                </c:pt>
                <c:pt idx="12">
                  <c:v>0.56042846126311097</c:v>
                </c:pt>
                <c:pt idx="13">
                  <c:v>0.50822631733123302</c:v>
                </c:pt>
                <c:pt idx="14">
                  <c:v>0.47024510294127198</c:v>
                </c:pt>
                <c:pt idx="15">
                  <c:v>0.45940079894915953</c:v>
                </c:pt>
                <c:pt idx="16">
                  <c:v>0.43436709835353099</c:v>
                </c:pt>
                <c:pt idx="17">
                  <c:v>0.40517692530239702</c:v>
                </c:pt>
                <c:pt idx="18">
                  <c:v>0.36166301184574567</c:v>
                </c:pt>
                <c:pt idx="19">
                  <c:v>0.34984758733953503</c:v>
                </c:pt>
                <c:pt idx="20">
                  <c:v>0.29357266894137574</c:v>
                </c:pt>
                <c:pt idx="21">
                  <c:v>0.27606137685514798</c:v>
                </c:pt>
                <c:pt idx="22">
                  <c:v>0.24683945847846428</c:v>
                </c:pt>
                <c:pt idx="23">
                  <c:v>0.22044420999145301</c:v>
                </c:pt>
                <c:pt idx="24">
                  <c:v>0.16769727449017099</c:v>
                </c:pt>
                <c:pt idx="25">
                  <c:v>0.14064924463835399</c:v>
                </c:pt>
                <c:pt idx="26">
                  <c:v>9.7520024823555332E-2</c:v>
                </c:pt>
                <c:pt idx="27">
                  <c:v>8.0669610429053407E-2</c:v>
                </c:pt>
                <c:pt idx="28">
                  <c:v>2.8464211657914601E-2</c:v>
                </c:pt>
                <c:pt idx="29">
                  <c:v>-1.1746732117382299E-2</c:v>
                </c:pt>
                <c:pt idx="30">
                  <c:v>-6.0412113150029499E-2</c:v>
                </c:pt>
                <c:pt idx="31">
                  <c:v>-7.2845159119491479E-2</c:v>
                </c:pt>
                <c:pt idx="32">
                  <c:v>-0.12810193265278599</c:v>
                </c:pt>
                <c:pt idx="33">
                  <c:v>-0.15746239229487433</c:v>
                </c:pt>
                <c:pt idx="34">
                  <c:v>-0.17783400747498501</c:v>
                </c:pt>
                <c:pt idx="35">
                  <c:v>-0.24697765853093609</c:v>
                </c:pt>
                <c:pt idx="36">
                  <c:v>-0.26165454198626797</c:v>
                </c:pt>
                <c:pt idx="37">
                  <c:v>-0.31866977584593298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DBA-4206-BD7A-7E6292E971BC}"/>
            </c:ext>
          </c:extLst>
        </c:ser>
        <c:ser>
          <c:idx val="1"/>
          <c:order val="1"/>
          <c:tx>
            <c:strRef>
              <c:f>'S4'!$AK$1</c:f>
              <c:strCache>
                <c:ptCount val="1"/>
                <c:pt idx="0">
                  <c:v>Cp (Experiment)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'S4'!$AI$2:$AI$39</c:f>
              <c:numCache>
                <c:formatCode>General</c:formatCode>
                <c:ptCount val="38"/>
                <c:pt idx="0">
                  <c:v>-0.1</c:v>
                </c:pt>
                <c:pt idx="1">
                  <c:v>-0.09</c:v>
                </c:pt>
                <c:pt idx="2">
                  <c:v>-0.08</c:v>
                </c:pt>
                <c:pt idx="3">
                  <c:v>-7.0000000000000007E-2</c:v>
                </c:pt>
                <c:pt idx="4">
                  <c:v>-0.06</c:v>
                </c:pt>
                <c:pt idx="5">
                  <c:v>-0.05</c:v>
                </c:pt>
                <c:pt idx="6">
                  <c:v>-0.04</c:v>
                </c:pt>
                <c:pt idx="7">
                  <c:v>-0.03</c:v>
                </c:pt>
                <c:pt idx="8">
                  <c:v>-0.02</c:v>
                </c:pt>
                <c:pt idx="9">
                  <c:v>-0.01</c:v>
                </c:pt>
                <c:pt idx="10">
                  <c:v>0</c:v>
                </c:pt>
                <c:pt idx="11">
                  <c:v>0.01</c:v>
                </c:pt>
                <c:pt idx="12">
                  <c:v>0.02</c:v>
                </c:pt>
                <c:pt idx="13">
                  <c:v>0.03</c:v>
                </c:pt>
                <c:pt idx="14">
                  <c:v>0.04</c:v>
                </c:pt>
                <c:pt idx="15">
                  <c:v>0.05</c:v>
                </c:pt>
                <c:pt idx="16">
                  <c:v>0.06</c:v>
                </c:pt>
                <c:pt idx="17">
                  <c:v>7.0000000000000007E-2</c:v>
                </c:pt>
                <c:pt idx="18">
                  <c:v>0.08</c:v>
                </c:pt>
                <c:pt idx="19">
                  <c:v>0.09</c:v>
                </c:pt>
                <c:pt idx="20">
                  <c:v>0.1</c:v>
                </c:pt>
                <c:pt idx="21">
                  <c:v>0.11</c:v>
                </c:pt>
                <c:pt idx="22">
                  <c:v>0.12</c:v>
                </c:pt>
                <c:pt idx="23">
                  <c:v>0.13</c:v>
                </c:pt>
                <c:pt idx="24">
                  <c:v>0.14000000000000001</c:v>
                </c:pt>
                <c:pt idx="25">
                  <c:v>0.15</c:v>
                </c:pt>
                <c:pt idx="26">
                  <c:v>0.16</c:v>
                </c:pt>
                <c:pt idx="27">
                  <c:v>0.17</c:v>
                </c:pt>
                <c:pt idx="28">
                  <c:v>0.18</c:v>
                </c:pt>
                <c:pt idx="29">
                  <c:v>0.19</c:v>
                </c:pt>
                <c:pt idx="30">
                  <c:v>0.2</c:v>
                </c:pt>
                <c:pt idx="31">
                  <c:v>0.21</c:v>
                </c:pt>
                <c:pt idx="32">
                  <c:v>0.22</c:v>
                </c:pt>
                <c:pt idx="33" formatCode="0.00">
                  <c:v>0.23</c:v>
                </c:pt>
                <c:pt idx="34" formatCode="0.00">
                  <c:v>0.24</c:v>
                </c:pt>
                <c:pt idx="35">
                  <c:v>0.25</c:v>
                </c:pt>
                <c:pt idx="36">
                  <c:v>0.26</c:v>
                </c:pt>
                <c:pt idx="37">
                  <c:v>0.27</c:v>
                </c:pt>
              </c:numCache>
            </c:numRef>
          </c:cat>
          <c:val>
            <c:numRef>
              <c:f>'S4'!$AK$2:$AK$39</c:f>
              <c:numCache>
                <c:formatCode>General</c:formatCode>
                <c:ptCount val="38"/>
                <c:pt idx="0">
                  <c:v>0.28881000000000001</c:v>
                </c:pt>
                <c:pt idx="1">
                  <c:v>0.31213999999999997</c:v>
                </c:pt>
                <c:pt idx="2">
                  <c:v>0.33552999999999999</c:v>
                </c:pt>
                <c:pt idx="3">
                  <c:v>0.35343000000000002</c:v>
                </c:pt>
                <c:pt idx="4">
                  <c:v>0.378</c:v>
                </c:pt>
                <c:pt idx="5">
                  <c:v>0.40103</c:v>
                </c:pt>
                <c:pt idx="6">
                  <c:v>0.42270999999999997</c:v>
                </c:pt>
                <c:pt idx="7">
                  <c:v>0.44041999999999998</c:v>
                </c:pt>
                <c:pt idx="8">
                  <c:v>0.45588000000000001</c:v>
                </c:pt>
                <c:pt idx="9">
                  <c:v>0.47077000000000002</c:v>
                </c:pt>
                <c:pt idx="10">
                  <c:v>0.47972999999999999</c:v>
                </c:pt>
                <c:pt idx="11">
                  <c:v>0.47632000000000002</c:v>
                </c:pt>
                <c:pt idx="12">
                  <c:v>0.46346999999999999</c:v>
                </c:pt>
                <c:pt idx="13">
                  <c:v>0.44757000000000002</c:v>
                </c:pt>
                <c:pt idx="14">
                  <c:v>0.43052000000000001</c:v>
                </c:pt>
                <c:pt idx="15">
                  <c:v>0.41205999999999998</c:v>
                </c:pt>
                <c:pt idx="16">
                  <c:v>0.39306000000000002</c:v>
                </c:pt>
                <c:pt idx="17">
                  <c:v>0.37193999999999999</c:v>
                </c:pt>
                <c:pt idx="18">
                  <c:v>0.34898000000000001</c:v>
                </c:pt>
                <c:pt idx="19">
                  <c:v>0.32755000000000001</c:v>
                </c:pt>
                <c:pt idx="20">
                  <c:v>0.30585000000000001</c:v>
                </c:pt>
                <c:pt idx="21">
                  <c:v>0.28477999999999998</c:v>
                </c:pt>
                <c:pt idx="22">
                  <c:v>0.26422000000000001</c:v>
                </c:pt>
                <c:pt idx="23">
                  <c:v>0.23788000000000001</c:v>
                </c:pt>
                <c:pt idx="24">
                  <c:v>0.21915000000000001</c:v>
                </c:pt>
                <c:pt idx="25">
                  <c:v>0.19596</c:v>
                </c:pt>
                <c:pt idx="26">
                  <c:v>0.17538999999999999</c:v>
                </c:pt>
                <c:pt idx="27">
                  <c:v>0.15337999999999999</c:v>
                </c:pt>
                <c:pt idx="28">
                  <c:v>0.13275999999999999</c:v>
                </c:pt>
                <c:pt idx="29">
                  <c:v>0.11186</c:v>
                </c:pt>
                <c:pt idx="30">
                  <c:v>8.9719999999999994E-2</c:v>
                </c:pt>
                <c:pt idx="31">
                  <c:v>6.6680000000000003E-2</c:v>
                </c:pt>
                <c:pt idx="32">
                  <c:v>4.521E-2</c:v>
                </c:pt>
                <c:pt idx="33">
                  <c:v>2.0990000000000002E-2</c:v>
                </c:pt>
                <c:pt idx="34">
                  <c:v>-3.0799999999999998E-3</c:v>
                </c:pt>
                <c:pt idx="35">
                  <c:v>-2.52E-2</c:v>
                </c:pt>
                <c:pt idx="36">
                  <c:v>-4.7800000000000002E-2</c:v>
                </c:pt>
                <c:pt idx="37">
                  <c:v>-7.4230000000000004E-2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DBA-4206-BD7A-7E6292E971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99302096"/>
        <c:axId val="799304976"/>
      </c:lineChart>
      <c:catAx>
        <c:axId val="7993020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ID"/>
                  <a:t>Z-position (m)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#,##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799304976"/>
        <c:crosses val="autoZero"/>
        <c:auto val="1"/>
        <c:lblAlgn val="ctr"/>
        <c:lblOffset val="100"/>
        <c:tickLblSkip val="3"/>
        <c:noMultiLvlLbl val="0"/>
      </c:catAx>
      <c:valAx>
        <c:axId val="79930497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ID"/>
                  <a:t>Cp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0.00" sourceLinked="0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7993020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255983</xdr:colOff>
      <xdr:row>29</xdr:row>
      <xdr:rowOff>130969</xdr:rowOff>
    </xdr:from>
    <xdr:to>
      <xdr:col>22</xdr:col>
      <xdr:colOff>119062</xdr:colOff>
      <xdr:row>48</xdr:row>
      <xdr:rowOff>26193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15C08CD-0AD2-EEC4-B583-C28D5AD654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20</xdr:col>
      <xdr:colOff>232172</xdr:colOff>
      <xdr:row>45</xdr:row>
      <xdr:rowOff>154781</xdr:rowOff>
    </xdr:from>
    <xdr:to>
      <xdr:col>28</xdr:col>
      <xdr:colOff>351235</xdr:colOff>
      <xdr:row>64</xdr:row>
      <xdr:rowOff>50005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3B459F7-7FB0-4165-83C0-9A4A9846E7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34</xdr:col>
      <xdr:colOff>339327</xdr:colOff>
      <xdr:row>44</xdr:row>
      <xdr:rowOff>113110</xdr:rowOff>
    </xdr:from>
    <xdr:to>
      <xdr:col>44</xdr:col>
      <xdr:colOff>83345</xdr:colOff>
      <xdr:row>65</xdr:row>
      <xdr:rowOff>5953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9D190BC-4850-E3EC-BED0-9B76F3AF78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170090</xdr:colOff>
      <xdr:row>29</xdr:row>
      <xdr:rowOff>149678</xdr:rowOff>
    </xdr:from>
    <xdr:to>
      <xdr:col>23</xdr:col>
      <xdr:colOff>56130</xdr:colOff>
      <xdr:row>47</xdr:row>
      <xdr:rowOff>131647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72A6F17-7438-467F-8679-EC97BF26BC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222250</xdr:colOff>
      <xdr:row>50</xdr:row>
      <xdr:rowOff>0</xdr:rowOff>
    </xdr:from>
    <xdr:to>
      <xdr:col>23</xdr:col>
      <xdr:colOff>67469</xdr:colOff>
      <xdr:row>68</xdr:row>
      <xdr:rowOff>2380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DFF0B24-5678-4FDC-8F5D-A69CDAE6D3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35</xdr:col>
      <xdr:colOff>55562</xdr:colOff>
      <xdr:row>42</xdr:row>
      <xdr:rowOff>1</xdr:rowOff>
    </xdr:from>
    <xdr:to>
      <xdr:col>44</xdr:col>
      <xdr:colOff>430611</xdr:colOff>
      <xdr:row>61</xdr:row>
      <xdr:rowOff>174625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F251D78-CCA5-4E86-A7A1-85569AF280D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619126</xdr:colOff>
      <xdr:row>29</xdr:row>
      <xdr:rowOff>88447</xdr:rowOff>
    </xdr:from>
    <xdr:to>
      <xdr:col>21</xdr:col>
      <xdr:colOff>545986</xdr:colOff>
      <xdr:row>47</xdr:row>
      <xdr:rowOff>50005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1198FF4-1931-49C4-925C-BF1A34F4D0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22</xdr:col>
      <xdr:colOff>591911</xdr:colOff>
      <xdr:row>31</xdr:row>
      <xdr:rowOff>40821</xdr:rowOff>
    </xdr:from>
    <xdr:to>
      <xdr:col>31</xdr:col>
      <xdr:colOff>477950</xdr:colOff>
      <xdr:row>49</xdr:row>
      <xdr:rowOff>22790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7708854-B52C-4C98-8033-223DFD0844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36</xdr:col>
      <xdr:colOff>0</xdr:colOff>
      <xdr:row>42</xdr:row>
      <xdr:rowOff>0</xdr:rowOff>
    </xdr:from>
    <xdr:to>
      <xdr:col>45</xdr:col>
      <xdr:colOff>446486</xdr:colOff>
      <xdr:row>62</xdr:row>
      <xdr:rowOff>71437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F45782A-DD95-4203-A797-5ACC20AF13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99D56-68B8-4F9C-93DF-1ED6F9DC4830}">
  <dimension ref="A1:V103"/>
  <sheetViews>
    <sheetView topLeftCell="A13" zoomScale="80" zoomScaleNormal="80" workbookViewId="0">
      <selection activeCell="J18" sqref="J18"/>
    </sheetView>
  </sheetViews>
  <sheetFormatPr defaultRowHeight="14.25"/>
  <cols>
    <col min="1" max="1" width="9.86328125" customWidth="1"/>
    <col min="9" max="9" width="9.06640625" style="1"/>
  </cols>
  <sheetData>
    <row r="1" spans="1:22">
      <c r="A1" t="s">
        <v>7</v>
      </c>
      <c r="I1" s="1" t="s">
        <v>8</v>
      </c>
      <c r="T1" t="s">
        <v>19</v>
      </c>
    </row>
    <row r="2" spans="1:2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J2" s="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T2" t="s">
        <v>18</v>
      </c>
      <c r="U2" t="s">
        <v>20</v>
      </c>
      <c r="V2" t="s">
        <v>21</v>
      </c>
    </row>
    <row r="3" spans="1:22">
      <c r="A3">
        <v>15.7079919672783</v>
      </c>
      <c r="B3">
        <v>0</v>
      </c>
      <c r="C3">
        <v>-4.8508593923745798E-2</v>
      </c>
      <c r="D3">
        <v>300.01017835531798</v>
      </c>
      <c r="E3">
        <v>0.01</v>
      </c>
      <c r="F3">
        <v>0</v>
      </c>
      <c r="G3">
        <v>0.149999999999999</v>
      </c>
      <c r="J3" s="2">
        <v>4.1000000000000002E-2</v>
      </c>
      <c r="K3">
        <v>-6.5920000000000006E-2</v>
      </c>
      <c r="L3">
        <v>0.65742</v>
      </c>
      <c r="M3">
        <v>0.61765999999999999</v>
      </c>
      <c r="N3">
        <v>16.066179999999999</v>
      </c>
      <c r="O3">
        <v>8.0893499999999996</v>
      </c>
      <c r="P3">
        <v>0.77185999999999999</v>
      </c>
      <c r="Q3">
        <v>8.1260899999999996</v>
      </c>
      <c r="R3">
        <v>5.45</v>
      </c>
      <c r="T3">
        <v>4.0999999999999999E-4</v>
      </c>
      <c r="U3">
        <f>_xlfn.FORECAST.LINEAR(T3,$A$3:$A$103,$B$3:$B$103)</f>
        <v>16.369960251602929</v>
      </c>
      <c r="V3">
        <v>8.0893499999999996</v>
      </c>
    </row>
    <row r="4" spans="1:22">
      <c r="A4">
        <v>15.7079919672783</v>
      </c>
      <c r="B4">
        <v>5.9299999999999902E-4</v>
      </c>
      <c r="C4">
        <v>-4.8508593923745798E-2</v>
      </c>
      <c r="D4">
        <v>300.01017835531798</v>
      </c>
      <c r="E4">
        <v>0.01</v>
      </c>
      <c r="F4">
        <v>5.9299999999999902E-4</v>
      </c>
      <c r="G4">
        <v>0.149999999999999</v>
      </c>
      <c r="J4" s="2">
        <v>6.5000000000000002E-2</v>
      </c>
      <c r="K4">
        <v>-6.5920000000000006E-2</v>
      </c>
      <c r="L4">
        <v>0.65742</v>
      </c>
      <c r="M4">
        <v>0.61765999999999999</v>
      </c>
      <c r="N4">
        <v>16.060169999999999</v>
      </c>
      <c r="O4">
        <v>7.8695300000000001</v>
      </c>
      <c r="P4">
        <v>0.76170000000000004</v>
      </c>
      <c r="Q4">
        <v>7.9063100000000004</v>
      </c>
      <c r="R4">
        <v>5.5289999999999999</v>
      </c>
      <c r="T4">
        <v>6.4999999999999997E-4</v>
      </c>
      <c r="U4">
        <f t="shared" ref="U4:U27" si="0">_xlfn.FORECAST.LINEAR(T4,$A$3:$A$103,$B$3:$B$103)</f>
        <v>16.370109081595952</v>
      </c>
      <c r="V4">
        <v>7.8695300000000001</v>
      </c>
    </row>
    <row r="5" spans="1:22">
      <c r="A5">
        <v>16.484793216096399</v>
      </c>
      <c r="B5">
        <v>1.186E-3</v>
      </c>
      <c r="C5">
        <v>9.4923264963520104E-2</v>
      </c>
      <c r="D5">
        <v>299.99861705825703</v>
      </c>
      <c r="E5">
        <v>0.01</v>
      </c>
      <c r="F5">
        <v>1.186E-3</v>
      </c>
      <c r="G5">
        <v>0.149999999999999</v>
      </c>
      <c r="J5" s="2">
        <v>7.6999999999999999E-2</v>
      </c>
      <c r="K5">
        <v>-6.5920000000000006E-2</v>
      </c>
      <c r="L5">
        <v>0.65742</v>
      </c>
      <c r="M5">
        <v>0.61765999999999999</v>
      </c>
      <c r="N5">
        <v>16.053560000000001</v>
      </c>
      <c r="O5">
        <v>8.4883299999999995</v>
      </c>
      <c r="P5">
        <v>0.70406000000000002</v>
      </c>
      <c r="Q5">
        <v>8.5174800000000008</v>
      </c>
      <c r="R5">
        <v>4.742</v>
      </c>
      <c r="T5">
        <v>7.6999999999999996E-4</v>
      </c>
      <c r="U5">
        <f t="shared" si="0"/>
        <v>16.37018349659246</v>
      </c>
      <c r="V5">
        <v>8.4883299999999995</v>
      </c>
    </row>
    <row r="6" spans="1:22">
      <c r="A6">
        <v>16.484793216096399</v>
      </c>
      <c r="B6">
        <v>1.779E-3</v>
      </c>
      <c r="C6">
        <v>9.4923264963520104E-2</v>
      </c>
      <c r="D6">
        <v>299.99861705825703</v>
      </c>
      <c r="E6">
        <v>0.01</v>
      </c>
      <c r="F6">
        <v>1.779E-3</v>
      </c>
      <c r="G6">
        <v>0.149999999999999</v>
      </c>
      <c r="J6" s="2">
        <v>9.1999999999999998E-2</v>
      </c>
      <c r="K6">
        <v>-6.5920000000000006E-2</v>
      </c>
      <c r="L6">
        <v>0.65742</v>
      </c>
      <c r="M6">
        <v>0.61765999999999999</v>
      </c>
      <c r="N6">
        <v>16.057839999999999</v>
      </c>
      <c r="O6">
        <v>8.9389699999999994</v>
      </c>
      <c r="P6">
        <v>0.71518000000000004</v>
      </c>
      <c r="Q6">
        <v>8.96753</v>
      </c>
      <c r="R6">
        <v>4.5739999999999998</v>
      </c>
      <c r="T6">
        <v>9.2000000000000003E-4</v>
      </c>
      <c r="U6">
        <f t="shared" si="0"/>
        <v>16.370276515338098</v>
      </c>
      <c r="V6">
        <v>8.9389699999999994</v>
      </c>
    </row>
    <row r="7" spans="1:22">
      <c r="A7">
        <v>16.502462978696201</v>
      </c>
      <c r="B7">
        <v>2.372E-3</v>
      </c>
      <c r="C7">
        <v>2.4212448523173301E-2</v>
      </c>
      <c r="D7">
        <v>299.99822220657899</v>
      </c>
      <c r="E7">
        <v>0.01</v>
      </c>
      <c r="F7">
        <v>2.372E-3</v>
      </c>
      <c r="G7">
        <v>0.149999999999999</v>
      </c>
      <c r="J7" s="2">
        <v>0.112</v>
      </c>
      <c r="K7">
        <v>-6.5920000000000006E-2</v>
      </c>
      <c r="L7">
        <v>0.65742</v>
      </c>
      <c r="M7">
        <v>0.61765999999999999</v>
      </c>
      <c r="N7">
        <v>16.053999999999998</v>
      </c>
      <c r="O7">
        <v>9.3514800000000005</v>
      </c>
      <c r="P7">
        <v>0.72916000000000003</v>
      </c>
      <c r="Q7">
        <v>9.3798600000000008</v>
      </c>
      <c r="R7">
        <v>4.4589999999999996</v>
      </c>
      <c r="T7">
        <v>1.1200000000000001E-3</v>
      </c>
      <c r="U7">
        <f t="shared" si="0"/>
        <v>16.370400540332284</v>
      </c>
      <c r="V7">
        <v>9.3514800000000005</v>
      </c>
    </row>
    <row r="8" spans="1:22">
      <c r="A8">
        <v>16.502462978696201</v>
      </c>
      <c r="B8">
        <v>2.9650000000000002E-3</v>
      </c>
      <c r="C8">
        <v>2.4212448523173301E-2</v>
      </c>
      <c r="D8">
        <v>299.99822220657899</v>
      </c>
      <c r="E8">
        <v>0.01</v>
      </c>
      <c r="F8">
        <v>2.9650000000000002E-3</v>
      </c>
      <c r="G8">
        <v>0.149999999999999</v>
      </c>
      <c r="J8" s="2">
        <v>0.13500000000000001</v>
      </c>
      <c r="K8">
        <v>-6.5920000000000006E-2</v>
      </c>
      <c r="L8">
        <v>0.65742</v>
      </c>
      <c r="M8">
        <v>0.61765999999999999</v>
      </c>
      <c r="N8">
        <v>16.042010000000001</v>
      </c>
      <c r="O8">
        <v>9.7282899999999994</v>
      </c>
      <c r="P8">
        <v>0.72150999999999998</v>
      </c>
      <c r="Q8">
        <v>9.7550100000000004</v>
      </c>
      <c r="R8">
        <v>4.242</v>
      </c>
      <c r="T8">
        <v>1.3500000000000001E-3</v>
      </c>
      <c r="U8">
        <f t="shared" si="0"/>
        <v>16.370543169075592</v>
      </c>
      <c r="V8">
        <v>9.7282899999999994</v>
      </c>
    </row>
    <row r="9" spans="1:22">
      <c r="A9">
        <v>16.502462978696201</v>
      </c>
      <c r="B9">
        <v>3.558E-3</v>
      </c>
      <c r="C9">
        <v>2.4212448523173301E-2</v>
      </c>
      <c r="D9">
        <v>299.99822220657899</v>
      </c>
      <c r="E9">
        <v>0.01</v>
      </c>
      <c r="F9">
        <v>3.558E-3</v>
      </c>
      <c r="G9">
        <v>0.149999999999999</v>
      </c>
      <c r="J9" s="2">
        <v>0.16500000000000001</v>
      </c>
      <c r="K9">
        <v>-6.5920000000000006E-2</v>
      </c>
      <c r="L9">
        <v>0.65742</v>
      </c>
      <c r="M9">
        <v>0.61765999999999999</v>
      </c>
      <c r="N9">
        <v>16.046939999999999</v>
      </c>
      <c r="O9">
        <v>9.9614799999999999</v>
      </c>
      <c r="P9">
        <v>0.73114000000000001</v>
      </c>
      <c r="Q9">
        <v>9.98827</v>
      </c>
      <c r="R9">
        <v>4.1980000000000004</v>
      </c>
      <c r="T9">
        <v>1.65E-3</v>
      </c>
      <c r="U9">
        <f t="shared" si="0"/>
        <v>16.370729206566871</v>
      </c>
      <c r="V9">
        <v>9.9614799999999999</v>
      </c>
    </row>
    <row r="10" spans="1:22">
      <c r="A10">
        <v>16.482461000560001</v>
      </c>
      <c r="B10">
        <v>4.1510000000000002E-3</v>
      </c>
      <c r="C10">
        <v>4.51511445846502E-2</v>
      </c>
      <c r="D10">
        <v>299.998540267137</v>
      </c>
      <c r="E10">
        <v>0.01</v>
      </c>
      <c r="F10">
        <v>4.1510000000000002E-3</v>
      </c>
      <c r="G10">
        <v>0.149999999999999</v>
      </c>
      <c r="J10" s="2">
        <v>0.20100000000000001</v>
      </c>
      <c r="K10">
        <v>-6.5920000000000006E-2</v>
      </c>
      <c r="L10">
        <v>0.65742</v>
      </c>
      <c r="M10">
        <v>0.61765999999999999</v>
      </c>
      <c r="N10">
        <v>16.047090000000001</v>
      </c>
      <c r="O10">
        <v>10.29731</v>
      </c>
      <c r="P10">
        <v>0.71187</v>
      </c>
      <c r="Q10">
        <v>10.32189</v>
      </c>
      <c r="R10">
        <v>3.9550000000000001</v>
      </c>
      <c r="T10">
        <v>2.0100000000000001E-3</v>
      </c>
      <c r="U10">
        <f t="shared" si="0"/>
        <v>16.370952451556398</v>
      </c>
      <c r="V10">
        <v>10.29731</v>
      </c>
    </row>
    <row r="11" spans="1:22">
      <c r="A11">
        <v>16.482461000560001</v>
      </c>
      <c r="B11">
        <v>4.744E-3</v>
      </c>
      <c r="C11">
        <v>4.51511445846502E-2</v>
      </c>
      <c r="D11">
        <v>299.998540267137</v>
      </c>
      <c r="E11">
        <v>0.01</v>
      </c>
      <c r="F11">
        <v>4.744E-3</v>
      </c>
      <c r="G11">
        <v>0.149999999999999</v>
      </c>
      <c r="J11" s="2">
        <v>0.247</v>
      </c>
      <c r="K11">
        <v>-6.5920000000000006E-2</v>
      </c>
      <c r="L11">
        <v>0.65742</v>
      </c>
      <c r="M11">
        <v>0.61765999999999999</v>
      </c>
      <c r="N11">
        <v>16.046800000000001</v>
      </c>
      <c r="O11">
        <v>10.65366</v>
      </c>
      <c r="P11">
        <v>0.73089000000000004</v>
      </c>
      <c r="Q11">
        <v>10.678699999999999</v>
      </c>
      <c r="R11">
        <v>3.9249999999999998</v>
      </c>
      <c r="T11">
        <v>2.47E-3</v>
      </c>
      <c r="U11">
        <f t="shared" si="0"/>
        <v>16.371237709043022</v>
      </c>
      <c r="V11">
        <v>10.65366</v>
      </c>
    </row>
    <row r="12" spans="1:22">
      <c r="A12">
        <v>16.482461000560001</v>
      </c>
      <c r="B12">
        <v>5.3369999999999902E-3</v>
      </c>
      <c r="C12">
        <v>4.51511445846502E-2</v>
      </c>
      <c r="D12">
        <v>299.998540267137</v>
      </c>
      <c r="E12">
        <v>0.01</v>
      </c>
      <c r="F12">
        <v>5.3369999999999902E-3</v>
      </c>
      <c r="G12">
        <v>0.149999999999999</v>
      </c>
      <c r="J12" s="2">
        <v>0.28899999999999998</v>
      </c>
      <c r="K12">
        <v>-6.5920000000000006E-2</v>
      </c>
      <c r="L12">
        <v>0.65742</v>
      </c>
      <c r="M12">
        <v>0.61765999999999999</v>
      </c>
      <c r="N12">
        <v>16.054659999999998</v>
      </c>
      <c r="O12">
        <v>10.9986</v>
      </c>
      <c r="P12">
        <v>0.71062999999999998</v>
      </c>
      <c r="Q12">
        <v>11.02153</v>
      </c>
      <c r="R12">
        <v>3.6970000000000001</v>
      </c>
      <c r="T12">
        <v>2.8899999999999998E-3</v>
      </c>
      <c r="U12">
        <f t="shared" si="0"/>
        <v>16.371498161530809</v>
      </c>
      <c r="V12">
        <v>10.9986</v>
      </c>
    </row>
    <row r="13" spans="1:22">
      <c r="A13">
        <v>16.442575839020702</v>
      </c>
      <c r="B13">
        <v>5.9300000000000004E-3</v>
      </c>
      <c r="C13">
        <v>3.5324166780681301E-2</v>
      </c>
      <c r="D13">
        <v>299.999179037494</v>
      </c>
      <c r="E13">
        <v>0.01</v>
      </c>
      <c r="F13">
        <v>5.9300000000000004E-3</v>
      </c>
      <c r="G13">
        <v>0.149999999999999</v>
      </c>
      <c r="J13" s="2">
        <v>0.35899999999999999</v>
      </c>
      <c r="K13">
        <v>-6.5920000000000006E-2</v>
      </c>
      <c r="L13">
        <v>0.65742</v>
      </c>
      <c r="M13">
        <v>0.61765999999999999</v>
      </c>
      <c r="N13">
        <v>16.047840000000001</v>
      </c>
      <c r="O13">
        <v>11.37673</v>
      </c>
      <c r="P13">
        <v>0.69155</v>
      </c>
      <c r="Q13">
        <v>11.397729999999999</v>
      </c>
      <c r="R13">
        <v>3.4790000000000001</v>
      </c>
      <c r="T13">
        <v>3.5899999999999999E-3</v>
      </c>
      <c r="U13">
        <f t="shared" si="0"/>
        <v>16.371932249010452</v>
      </c>
      <c r="V13">
        <v>11.37673</v>
      </c>
    </row>
    <row r="14" spans="1:22">
      <c r="A14">
        <v>16.442575839020702</v>
      </c>
      <c r="B14">
        <v>6.5230000000000002E-3</v>
      </c>
      <c r="C14">
        <v>3.5324166780681301E-2</v>
      </c>
      <c r="D14">
        <v>299.999179037494</v>
      </c>
      <c r="E14">
        <v>0.01</v>
      </c>
      <c r="F14">
        <v>6.5230000000000002E-3</v>
      </c>
      <c r="G14">
        <v>0.149999999999999</v>
      </c>
      <c r="J14" s="2">
        <v>0.44700000000000001</v>
      </c>
      <c r="K14">
        <v>-6.5920000000000006E-2</v>
      </c>
      <c r="L14">
        <v>0.65742</v>
      </c>
      <c r="M14">
        <v>0.61765999999999999</v>
      </c>
      <c r="N14">
        <v>16.04148</v>
      </c>
      <c r="O14">
        <v>11.789960000000001</v>
      </c>
      <c r="P14">
        <v>0.68186999999999998</v>
      </c>
      <c r="Q14">
        <v>11.809659999999999</v>
      </c>
      <c r="R14">
        <v>3.31</v>
      </c>
      <c r="T14">
        <v>4.47E-3</v>
      </c>
      <c r="U14">
        <f t="shared" si="0"/>
        <v>16.372477958984859</v>
      </c>
      <c r="V14">
        <v>11.789960000000001</v>
      </c>
    </row>
    <row r="15" spans="1:22">
      <c r="A15">
        <v>16.436301453442201</v>
      </c>
      <c r="B15">
        <v>7.1159999999999904E-3</v>
      </c>
      <c r="C15">
        <v>2.6374772177985398E-2</v>
      </c>
      <c r="D15">
        <v>299.99928055821601</v>
      </c>
      <c r="E15">
        <v>0.01</v>
      </c>
      <c r="F15">
        <v>7.1159999999999904E-3</v>
      </c>
      <c r="G15">
        <v>0.149999999999999</v>
      </c>
      <c r="J15" s="2">
        <v>0.55500000000000005</v>
      </c>
      <c r="K15">
        <v>-6.5920000000000006E-2</v>
      </c>
      <c r="L15">
        <v>0.65742</v>
      </c>
      <c r="M15">
        <v>0.61765999999999999</v>
      </c>
      <c r="N15">
        <v>16.026859999999999</v>
      </c>
      <c r="O15">
        <v>12.17497</v>
      </c>
      <c r="P15">
        <v>0.68833999999999995</v>
      </c>
      <c r="Q15">
        <v>12.19441</v>
      </c>
      <c r="R15">
        <v>3.2360000000000002</v>
      </c>
      <c r="T15">
        <v>5.5500000000000002E-3</v>
      </c>
      <c r="U15">
        <f t="shared" si="0"/>
        <v>16.373147693953452</v>
      </c>
      <c r="V15">
        <v>12.17497</v>
      </c>
    </row>
    <row r="16" spans="1:22">
      <c r="A16">
        <v>16.397899595485502</v>
      </c>
      <c r="B16">
        <v>7.7089999999999902E-3</v>
      </c>
      <c r="C16">
        <v>2.71993999769467E-2</v>
      </c>
      <c r="D16">
        <v>299.99989554295399</v>
      </c>
      <c r="E16">
        <v>0.01</v>
      </c>
      <c r="F16">
        <v>7.7089999999999902E-3</v>
      </c>
      <c r="G16">
        <v>0.149999999999999</v>
      </c>
      <c r="J16" s="2">
        <v>0.69099999999999995</v>
      </c>
      <c r="K16">
        <v>-6.5920000000000006E-2</v>
      </c>
      <c r="L16">
        <v>0.65742</v>
      </c>
      <c r="M16">
        <v>0.61765999999999999</v>
      </c>
      <c r="N16">
        <v>16.02056</v>
      </c>
      <c r="O16">
        <v>12.55123</v>
      </c>
      <c r="P16">
        <v>0.66</v>
      </c>
      <c r="Q16">
        <v>12.568569999999999</v>
      </c>
      <c r="R16">
        <v>3.01</v>
      </c>
      <c r="T16">
        <v>6.9099999999999995E-3</v>
      </c>
      <c r="U16">
        <f t="shared" si="0"/>
        <v>16.373991063913902</v>
      </c>
      <c r="V16">
        <v>12.55123</v>
      </c>
    </row>
    <row r="17" spans="1:22">
      <c r="A17">
        <v>16.397899595485502</v>
      </c>
      <c r="B17">
        <v>8.3020000000000004E-3</v>
      </c>
      <c r="C17">
        <v>2.71993999769467E-2</v>
      </c>
      <c r="D17">
        <v>299.99989554295399</v>
      </c>
      <c r="E17">
        <v>0.01</v>
      </c>
      <c r="F17">
        <v>8.3020000000000004E-3</v>
      </c>
      <c r="G17">
        <v>0.149999999999999</v>
      </c>
      <c r="J17" s="2">
        <v>0.85899999999999999</v>
      </c>
      <c r="K17">
        <v>-6.5920000000000006E-2</v>
      </c>
      <c r="L17">
        <v>0.65742</v>
      </c>
      <c r="M17">
        <v>0.61765999999999999</v>
      </c>
      <c r="N17">
        <v>16.021429999999999</v>
      </c>
      <c r="O17">
        <v>13.03576</v>
      </c>
      <c r="P17">
        <v>0.64927000000000001</v>
      </c>
      <c r="Q17">
        <v>13.051920000000001</v>
      </c>
      <c r="R17">
        <v>2.851</v>
      </c>
      <c r="T17">
        <v>8.5900000000000004E-3</v>
      </c>
      <c r="U17">
        <f t="shared" si="0"/>
        <v>16.375032873865045</v>
      </c>
      <c r="V17">
        <v>13.03576</v>
      </c>
    </row>
    <row r="18" spans="1:22">
      <c r="A18">
        <v>16.397899595485502</v>
      </c>
      <c r="B18">
        <v>8.8950000000000001E-3</v>
      </c>
      <c r="C18">
        <v>2.71993999769467E-2</v>
      </c>
      <c r="D18">
        <v>299.99989554295399</v>
      </c>
      <c r="E18">
        <v>0.01</v>
      </c>
      <c r="F18">
        <v>8.8950000000000001E-3</v>
      </c>
      <c r="G18">
        <v>0.149999999999999</v>
      </c>
      <c r="J18" s="2">
        <v>1.0680000000000001</v>
      </c>
      <c r="K18">
        <v>-6.5920000000000006E-2</v>
      </c>
      <c r="L18">
        <v>0.65742</v>
      </c>
      <c r="M18">
        <v>0.61765999999999999</v>
      </c>
      <c r="N18">
        <v>16.014600000000002</v>
      </c>
      <c r="O18">
        <v>13.523059999999999</v>
      </c>
      <c r="P18">
        <v>0.62</v>
      </c>
      <c r="Q18">
        <v>13.53726</v>
      </c>
      <c r="R18">
        <v>2.625</v>
      </c>
      <c r="T18">
        <v>1.068E-2</v>
      </c>
      <c r="U18">
        <f t="shared" si="0"/>
        <v>16.376328935054264</v>
      </c>
      <c r="V18">
        <v>13.523059999999999</v>
      </c>
    </row>
    <row r="19" spans="1:22">
      <c r="A19">
        <v>16.397899595485502</v>
      </c>
      <c r="B19">
        <v>9.4879999999999895E-3</v>
      </c>
      <c r="C19">
        <v>2.71993999769467E-2</v>
      </c>
      <c r="D19">
        <v>299.99989554295399</v>
      </c>
      <c r="E19">
        <v>0.01</v>
      </c>
      <c r="F19">
        <v>9.4879999999999895E-3</v>
      </c>
      <c r="G19">
        <v>0.149999999999999</v>
      </c>
      <c r="J19" s="2">
        <v>1.3280000000000001</v>
      </c>
      <c r="K19">
        <v>-6.5920000000000006E-2</v>
      </c>
      <c r="L19">
        <v>0.65742</v>
      </c>
      <c r="M19">
        <v>0.61765999999999999</v>
      </c>
      <c r="N19">
        <v>16.023289999999999</v>
      </c>
      <c r="O19">
        <v>14.03984</v>
      </c>
      <c r="P19">
        <v>0.60235000000000005</v>
      </c>
      <c r="Q19">
        <v>14.052759999999999</v>
      </c>
      <c r="R19">
        <v>2.4569999999999999</v>
      </c>
      <c r="T19">
        <v>1.328E-2</v>
      </c>
      <c r="U19">
        <f t="shared" si="0"/>
        <v>16.377941259978652</v>
      </c>
      <c r="V19">
        <v>14.03984</v>
      </c>
    </row>
    <row r="20" spans="1:22">
      <c r="A20">
        <v>16.393487333891901</v>
      </c>
      <c r="B20">
        <v>1.0081E-2</v>
      </c>
      <c r="C20">
        <v>2.0532016589206399E-2</v>
      </c>
      <c r="D20">
        <v>299.99996692950299</v>
      </c>
      <c r="E20">
        <v>0.01</v>
      </c>
      <c r="F20">
        <v>1.0081E-2</v>
      </c>
      <c r="G20">
        <v>0.149999999999999</v>
      </c>
      <c r="J20" s="2">
        <v>1.651</v>
      </c>
      <c r="K20">
        <v>-6.5920000000000006E-2</v>
      </c>
      <c r="L20">
        <v>0.65742</v>
      </c>
      <c r="M20">
        <v>0.61765999999999999</v>
      </c>
      <c r="N20">
        <v>16.00102</v>
      </c>
      <c r="O20">
        <v>14.610010000000001</v>
      </c>
      <c r="P20">
        <v>0.57555000000000001</v>
      </c>
      <c r="Q20">
        <v>14.62134</v>
      </c>
      <c r="R20">
        <v>2.2559999999999998</v>
      </c>
      <c r="T20">
        <v>1.651E-2</v>
      </c>
      <c r="U20">
        <f t="shared" si="0"/>
        <v>16.379944263634719</v>
      </c>
      <c r="V20">
        <v>14.610010000000001</v>
      </c>
    </row>
    <row r="21" spans="1:22">
      <c r="A21">
        <v>16.373298043808798</v>
      </c>
      <c r="B21">
        <v>1.0673999999999901E-2</v>
      </c>
      <c r="C21">
        <v>2.01438523856915E-2</v>
      </c>
      <c r="D21">
        <v>300.00028808844797</v>
      </c>
      <c r="E21">
        <v>0.01</v>
      </c>
      <c r="F21">
        <v>1.0673999999999901E-2</v>
      </c>
      <c r="G21">
        <v>0.149999999999999</v>
      </c>
      <c r="J21" s="2">
        <v>2.0529999999999999</v>
      </c>
      <c r="K21">
        <v>-6.5920000000000006E-2</v>
      </c>
      <c r="L21">
        <v>0.65742</v>
      </c>
      <c r="M21">
        <v>0.61765999999999999</v>
      </c>
      <c r="N21">
        <v>16.022600000000001</v>
      </c>
      <c r="O21">
        <v>15.197050000000001</v>
      </c>
      <c r="P21">
        <v>0.53891</v>
      </c>
      <c r="Q21">
        <v>15.2066</v>
      </c>
      <c r="R21">
        <v>2.0310000000000001</v>
      </c>
      <c r="T21">
        <v>2.053E-2</v>
      </c>
      <c r="U21">
        <f t="shared" si="0"/>
        <v>16.382437166017812</v>
      </c>
      <c r="V21">
        <v>15.197050000000001</v>
      </c>
    </row>
    <row r="22" spans="1:22">
      <c r="A22">
        <v>16.373298043808798</v>
      </c>
      <c r="B22">
        <v>1.12669999999999E-2</v>
      </c>
      <c r="C22">
        <v>2.01438523856915E-2</v>
      </c>
      <c r="D22">
        <v>300.00028808844797</v>
      </c>
      <c r="E22">
        <v>0.01</v>
      </c>
      <c r="F22">
        <v>1.12669999999999E-2</v>
      </c>
      <c r="G22">
        <v>0.149999999999999</v>
      </c>
      <c r="J22" s="2">
        <v>2.5529999999999999</v>
      </c>
      <c r="K22">
        <v>-6.5920000000000006E-2</v>
      </c>
      <c r="L22">
        <v>0.65742</v>
      </c>
      <c r="M22">
        <v>0.61765999999999999</v>
      </c>
      <c r="N22">
        <v>16.010200000000001</v>
      </c>
      <c r="O22">
        <v>15.881259999999999</v>
      </c>
      <c r="P22">
        <v>0.4879</v>
      </c>
      <c r="Q22">
        <v>15.88876</v>
      </c>
      <c r="R22">
        <v>1.76</v>
      </c>
      <c r="T22">
        <v>2.5530000000000001E-2</v>
      </c>
      <c r="U22">
        <f t="shared" si="0"/>
        <v>16.385537790872405</v>
      </c>
      <c r="V22">
        <v>15.881259999999999</v>
      </c>
    </row>
    <row r="23" spans="1:22">
      <c r="A23">
        <v>16.373298043808798</v>
      </c>
      <c r="B23">
        <v>1.1860000000000001E-2</v>
      </c>
      <c r="C23">
        <v>2.01438523856915E-2</v>
      </c>
      <c r="D23">
        <v>300.00028808844797</v>
      </c>
      <c r="E23">
        <v>0.01</v>
      </c>
      <c r="F23">
        <v>1.1860000000000001E-2</v>
      </c>
      <c r="G23">
        <v>0.149999999999999</v>
      </c>
      <c r="J23" s="2">
        <v>3.1749999999999998</v>
      </c>
      <c r="K23">
        <v>-6.5920000000000006E-2</v>
      </c>
      <c r="L23">
        <v>0.65742</v>
      </c>
      <c r="M23">
        <v>0.61765999999999999</v>
      </c>
      <c r="N23">
        <v>16.0105</v>
      </c>
      <c r="O23">
        <v>16.37228</v>
      </c>
      <c r="P23">
        <v>0.45122000000000001</v>
      </c>
      <c r="Q23">
        <v>16.378499999999999</v>
      </c>
      <c r="R23">
        <v>1.579</v>
      </c>
      <c r="T23">
        <v>3.175E-2</v>
      </c>
      <c r="U23">
        <f t="shared" si="0"/>
        <v>16.389394968191517</v>
      </c>
      <c r="V23">
        <v>16.37228</v>
      </c>
    </row>
    <row r="24" spans="1:22">
      <c r="A24">
        <v>16.373298043808798</v>
      </c>
      <c r="B24">
        <v>1.24529999999999E-2</v>
      </c>
      <c r="C24">
        <v>2.01438523856915E-2</v>
      </c>
      <c r="D24">
        <v>300.00028808844797</v>
      </c>
      <c r="E24">
        <v>0.01</v>
      </c>
      <c r="F24">
        <v>1.24529999999999E-2</v>
      </c>
      <c r="G24">
        <v>0.149999999999999</v>
      </c>
      <c r="J24" s="2">
        <v>3.948</v>
      </c>
      <c r="K24">
        <v>-6.5920000000000006E-2</v>
      </c>
      <c r="L24">
        <v>0.65742</v>
      </c>
      <c r="M24">
        <v>0.61765999999999999</v>
      </c>
      <c r="N24">
        <v>16.02627</v>
      </c>
      <c r="O24">
        <v>16.517499999999998</v>
      </c>
      <c r="P24">
        <v>0.45090999999999998</v>
      </c>
      <c r="Q24">
        <v>16.52365</v>
      </c>
      <c r="R24">
        <v>1.5640000000000001</v>
      </c>
      <c r="T24">
        <v>3.9480000000000001E-2</v>
      </c>
      <c r="U24">
        <f t="shared" si="0"/>
        <v>16.394188534216717</v>
      </c>
      <c r="V24">
        <v>16.517499999999998</v>
      </c>
    </row>
    <row r="25" spans="1:22">
      <c r="A25">
        <v>16.373298043808798</v>
      </c>
      <c r="B25">
        <v>1.3046E-2</v>
      </c>
      <c r="C25">
        <v>2.01438523856915E-2</v>
      </c>
      <c r="D25">
        <v>300.00028808844797</v>
      </c>
      <c r="E25">
        <v>0.01</v>
      </c>
      <c r="F25">
        <v>1.3046E-2</v>
      </c>
      <c r="G25">
        <v>0.149999999999999</v>
      </c>
      <c r="J25" s="2">
        <v>4.9089999999999998</v>
      </c>
      <c r="K25">
        <v>-6.5920000000000006E-2</v>
      </c>
      <c r="L25">
        <v>0.65742</v>
      </c>
      <c r="M25">
        <v>0.61765999999999999</v>
      </c>
      <c r="N25">
        <v>16.021419999999999</v>
      </c>
      <c r="O25">
        <v>16.526800000000001</v>
      </c>
      <c r="P25">
        <v>0.45733000000000001</v>
      </c>
      <c r="Q25">
        <v>16.53313</v>
      </c>
      <c r="R25">
        <v>1.585</v>
      </c>
      <c r="T25">
        <v>4.9089999999999995E-2</v>
      </c>
      <c r="U25">
        <f t="shared" si="0"/>
        <v>16.400147935187245</v>
      </c>
      <c r="V25">
        <v>16.526800000000001</v>
      </c>
    </row>
    <row r="26" spans="1:22">
      <c r="A26">
        <v>16.373298043808798</v>
      </c>
      <c r="B26">
        <v>1.3639E-2</v>
      </c>
      <c r="C26">
        <v>2.01438523856915E-2</v>
      </c>
      <c r="D26">
        <v>300.00028808844797</v>
      </c>
      <c r="E26">
        <v>0.01</v>
      </c>
      <c r="F26">
        <v>1.3639E-2</v>
      </c>
      <c r="G26">
        <v>0.149999999999999</v>
      </c>
      <c r="J26" s="2">
        <v>5.9089999999999998</v>
      </c>
      <c r="K26">
        <v>-6.5920000000000006E-2</v>
      </c>
      <c r="L26">
        <v>0.65742</v>
      </c>
      <c r="M26">
        <v>0.61765999999999999</v>
      </c>
      <c r="N26">
        <v>16.013349999999999</v>
      </c>
      <c r="O26">
        <v>16.529129999999999</v>
      </c>
      <c r="P26">
        <v>0.45099</v>
      </c>
      <c r="Q26">
        <v>16.53529</v>
      </c>
      <c r="R26">
        <v>1.5629999999999999</v>
      </c>
      <c r="T26">
        <v>5.9089999999999997E-2</v>
      </c>
      <c r="U26">
        <f t="shared" si="0"/>
        <v>16.406349184896431</v>
      </c>
      <c r="V26">
        <v>16.529129999999999</v>
      </c>
    </row>
    <row r="27" spans="1:22">
      <c r="A27">
        <v>16.373298043808798</v>
      </c>
      <c r="B27">
        <v>1.4232E-2</v>
      </c>
      <c r="C27">
        <v>2.01438523856915E-2</v>
      </c>
      <c r="D27">
        <v>300.00028808844797</v>
      </c>
      <c r="E27">
        <v>0.01</v>
      </c>
      <c r="F27">
        <v>1.4232E-2</v>
      </c>
      <c r="G27">
        <v>0.149999999999999</v>
      </c>
      <c r="J27" s="2">
        <v>5.93</v>
      </c>
      <c r="K27">
        <v>-6.5920000000000006E-2</v>
      </c>
      <c r="L27">
        <v>0.65742</v>
      </c>
      <c r="M27">
        <v>0.61765999999999999</v>
      </c>
      <c r="N27">
        <v>16.01614</v>
      </c>
      <c r="O27">
        <v>16.517880000000002</v>
      </c>
      <c r="P27">
        <v>0.45362000000000002</v>
      </c>
      <c r="Q27">
        <v>16.52411</v>
      </c>
      <c r="R27">
        <v>1.573</v>
      </c>
      <c r="T27">
        <v>5.9299999999999999E-2</v>
      </c>
      <c r="U27">
        <f t="shared" si="0"/>
        <v>16.406479411140321</v>
      </c>
      <c r="V27">
        <v>16.517880000000002</v>
      </c>
    </row>
    <row r="28" spans="1:22">
      <c r="A28">
        <v>16.391950998623901</v>
      </c>
      <c r="B28">
        <v>1.4825E-2</v>
      </c>
      <c r="C28">
        <v>1.6311882347640201E-2</v>
      </c>
      <c r="D28">
        <v>299.999983501386</v>
      </c>
      <c r="E28">
        <v>0.01</v>
      </c>
      <c r="F28">
        <v>1.4825E-2</v>
      </c>
      <c r="G28">
        <v>0.149999999999999</v>
      </c>
    </row>
    <row r="29" spans="1:22">
      <c r="A29">
        <v>16.391950998623901</v>
      </c>
      <c r="B29">
        <v>1.5417999999999901E-2</v>
      </c>
      <c r="C29">
        <v>1.6311882347640201E-2</v>
      </c>
      <c r="D29">
        <v>299.999983501386</v>
      </c>
      <c r="E29">
        <v>0.01</v>
      </c>
      <c r="F29">
        <v>1.5417999999999901E-2</v>
      </c>
      <c r="G29">
        <v>0.149999999999999</v>
      </c>
    </row>
    <row r="30" spans="1:22">
      <c r="A30">
        <v>16.391950998623901</v>
      </c>
      <c r="B30">
        <v>1.6011000000000001E-2</v>
      </c>
      <c r="C30">
        <v>1.6311882347640201E-2</v>
      </c>
      <c r="D30">
        <v>299.999983501386</v>
      </c>
      <c r="E30">
        <v>0.01</v>
      </c>
      <c r="F30">
        <v>1.6011000000000001E-2</v>
      </c>
      <c r="G30">
        <v>0.149999999999999</v>
      </c>
    </row>
    <row r="31" spans="1:22">
      <c r="A31">
        <v>16.391950998623901</v>
      </c>
      <c r="B31">
        <v>1.6604000000000001E-2</v>
      </c>
      <c r="C31">
        <v>1.6311882347640201E-2</v>
      </c>
      <c r="D31">
        <v>299.999983501386</v>
      </c>
      <c r="E31">
        <v>0.01</v>
      </c>
      <c r="F31">
        <v>1.6604000000000001E-2</v>
      </c>
      <c r="G31">
        <v>0.149999999999999</v>
      </c>
    </row>
    <row r="32" spans="1:22">
      <c r="A32">
        <v>16.391950998623901</v>
      </c>
      <c r="B32">
        <v>1.71969999999999E-2</v>
      </c>
      <c r="C32">
        <v>1.6311882347640201E-2</v>
      </c>
      <c r="D32">
        <v>299.999983501386</v>
      </c>
      <c r="E32">
        <v>0.01</v>
      </c>
      <c r="F32">
        <v>1.71969999999999E-2</v>
      </c>
      <c r="G32">
        <v>0.149999999999999</v>
      </c>
    </row>
    <row r="33" spans="1:7">
      <c r="A33">
        <v>16.391950998623901</v>
      </c>
      <c r="B33">
        <v>1.779E-2</v>
      </c>
      <c r="C33">
        <v>1.6311882347640201E-2</v>
      </c>
      <c r="D33">
        <v>299.999983501386</v>
      </c>
      <c r="E33">
        <v>0.01</v>
      </c>
      <c r="F33">
        <v>1.779E-2</v>
      </c>
      <c r="G33">
        <v>0.149999999999999</v>
      </c>
    </row>
    <row r="34" spans="1:7">
      <c r="A34">
        <v>16.391950998623901</v>
      </c>
      <c r="B34">
        <v>1.8383E-2</v>
      </c>
      <c r="C34">
        <v>1.6311882347640201E-2</v>
      </c>
      <c r="D34">
        <v>299.999983501386</v>
      </c>
      <c r="E34">
        <v>0.01</v>
      </c>
      <c r="F34">
        <v>1.8383E-2</v>
      </c>
      <c r="G34">
        <v>0.149999999999999</v>
      </c>
    </row>
    <row r="35" spans="1:7">
      <c r="A35">
        <v>16.391950998623901</v>
      </c>
      <c r="B35">
        <v>1.8976E-2</v>
      </c>
      <c r="C35">
        <v>1.6311882347640201E-2</v>
      </c>
      <c r="D35">
        <v>299.999983501386</v>
      </c>
      <c r="E35">
        <v>0.01</v>
      </c>
      <c r="F35">
        <v>1.8976E-2</v>
      </c>
      <c r="G35">
        <v>0.149999999999999</v>
      </c>
    </row>
    <row r="36" spans="1:7">
      <c r="A36">
        <v>16.391950998623901</v>
      </c>
      <c r="B36">
        <v>1.9569E-2</v>
      </c>
      <c r="C36">
        <v>1.6311882347640201E-2</v>
      </c>
      <c r="D36">
        <v>299.999983501386</v>
      </c>
      <c r="E36">
        <v>0.01</v>
      </c>
      <c r="F36">
        <v>1.9569E-2</v>
      </c>
      <c r="G36">
        <v>0.149999999999999</v>
      </c>
    </row>
    <row r="37" spans="1:7">
      <c r="A37">
        <v>16.391950998623901</v>
      </c>
      <c r="B37">
        <v>2.0161999999999899E-2</v>
      </c>
      <c r="C37">
        <v>1.6311882347640201E-2</v>
      </c>
      <c r="D37">
        <v>299.999983501386</v>
      </c>
      <c r="E37">
        <v>0.01</v>
      </c>
      <c r="F37">
        <v>2.0161999999999899E-2</v>
      </c>
      <c r="G37">
        <v>0.149999999999999</v>
      </c>
    </row>
    <row r="38" spans="1:7">
      <c r="A38">
        <v>16.391950998623901</v>
      </c>
      <c r="B38">
        <v>2.0754999999999899E-2</v>
      </c>
      <c r="C38">
        <v>1.6311882347640201E-2</v>
      </c>
      <c r="D38">
        <v>299.999983501386</v>
      </c>
      <c r="E38">
        <v>0.01</v>
      </c>
      <c r="F38">
        <v>2.0754999999999899E-2</v>
      </c>
      <c r="G38">
        <v>0.149999999999999</v>
      </c>
    </row>
    <row r="39" spans="1:7">
      <c r="A39">
        <v>16.391950998623901</v>
      </c>
      <c r="B39">
        <v>2.1347999999999898E-2</v>
      </c>
      <c r="C39">
        <v>1.6311882347640201E-2</v>
      </c>
      <c r="D39">
        <v>299.999983501386</v>
      </c>
      <c r="E39">
        <v>0.01</v>
      </c>
      <c r="F39">
        <v>2.1347999999999898E-2</v>
      </c>
      <c r="G39">
        <v>0.149999999999999</v>
      </c>
    </row>
    <row r="40" spans="1:7">
      <c r="A40">
        <v>16.391950998623901</v>
      </c>
      <c r="B40">
        <v>2.1940999999999902E-2</v>
      </c>
      <c r="C40">
        <v>1.6311882347640201E-2</v>
      </c>
      <c r="D40">
        <v>299.999983501386</v>
      </c>
      <c r="E40">
        <v>0.01</v>
      </c>
      <c r="F40">
        <v>2.1940999999999902E-2</v>
      </c>
      <c r="G40">
        <v>0.149999999999999</v>
      </c>
    </row>
    <row r="41" spans="1:7">
      <c r="A41">
        <v>16.391950998623901</v>
      </c>
      <c r="B41">
        <v>2.2533999999999901E-2</v>
      </c>
      <c r="C41">
        <v>1.6311882347640201E-2</v>
      </c>
      <c r="D41">
        <v>299.999983501386</v>
      </c>
      <c r="E41">
        <v>0.01</v>
      </c>
      <c r="F41">
        <v>2.2533999999999901E-2</v>
      </c>
      <c r="G41">
        <v>0.149999999999999</v>
      </c>
    </row>
    <row r="42" spans="1:7">
      <c r="A42">
        <v>16.395708817349298</v>
      </c>
      <c r="B42">
        <v>2.3127000000000002E-2</v>
      </c>
      <c r="C42">
        <v>1.6131556572912199E-2</v>
      </c>
      <c r="D42">
        <v>299.99992175550801</v>
      </c>
      <c r="E42">
        <v>0.01</v>
      </c>
      <c r="F42">
        <v>2.3127000000000002E-2</v>
      </c>
      <c r="G42">
        <v>0.149999999999999</v>
      </c>
    </row>
    <row r="43" spans="1:7">
      <c r="A43">
        <v>16.395708817349298</v>
      </c>
      <c r="B43">
        <v>2.3720000000000001E-2</v>
      </c>
      <c r="C43">
        <v>1.6131556572912199E-2</v>
      </c>
      <c r="D43">
        <v>299.99992175550801</v>
      </c>
      <c r="E43">
        <v>0.01</v>
      </c>
      <c r="F43">
        <v>2.3720000000000001E-2</v>
      </c>
      <c r="G43">
        <v>0.149999999999999</v>
      </c>
    </row>
    <row r="44" spans="1:7">
      <c r="A44">
        <v>16.395708817349298</v>
      </c>
      <c r="B44">
        <v>2.4312999999999901E-2</v>
      </c>
      <c r="C44">
        <v>1.6131556572912199E-2</v>
      </c>
      <c r="D44">
        <v>299.99992175550801</v>
      </c>
      <c r="E44">
        <v>0.01</v>
      </c>
      <c r="F44">
        <v>2.4312999999999901E-2</v>
      </c>
      <c r="G44">
        <v>0.149999999999999</v>
      </c>
    </row>
    <row r="45" spans="1:7">
      <c r="A45">
        <v>16.395708817349298</v>
      </c>
      <c r="B45">
        <v>2.49059999999999E-2</v>
      </c>
      <c r="C45">
        <v>1.6131556572912199E-2</v>
      </c>
      <c r="D45">
        <v>299.99992175550801</v>
      </c>
      <c r="E45">
        <v>0.01</v>
      </c>
      <c r="F45">
        <v>2.49059999999999E-2</v>
      </c>
      <c r="G45">
        <v>0.149999999999999</v>
      </c>
    </row>
    <row r="46" spans="1:7">
      <c r="A46">
        <v>16.395708817349298</v>
      </c>
      <c r="B46">
        <v>2.54989999999999E-2</v>
      </c>
      <c r="C46">
        <v>1.6131556572912199E-2</v>
      </c>
      <c r="D46">
        <v>299.99992175550801</v>
      </c>
      <c r="E46">
        <v>0.01</v>
      </c>
      <c r="F46">
        <v>2.54989999999999E-2</v>
      </c>
      <c r="G46">
        <v>0.149999999999999</v>
      </c>
    </row>
    <row r="47" spans="1:7">
      <c r="A47">
        <v>16.395708817349298</v>
      </c>
      <c r="B47">
        <v>2.6092000000000001E-2</v>
      </c>
      <c r="C47">
        <v>1.6131556572912199E-2</v>
      </c>
      <c r="D47">
        <v>299.99992175550801</v>
      </c>
      <c r="E47">
        <v>0.01</v>
      </c>
      <c r="F47">
        <v>2.6092000000000001E-2</v>
      </c>
      <c r="G47">
        <v>0.149999999999999</v>
      </c>
    </row>
    <row r="48" spans="1:7">
      <c r="A48">
        <v>16.395708817349298</v>
      </c>
      <c r="B48">
        <v>2.6685E-2</v>
      </c>
      <c r="C48">
        <v>1.6131556572912199E-2</v>
      </c>
      <c r="D48">
        <v>299.99992175550801</v>
      </c>
      <c r="E48">
        <v>0.01</v>
      </c>
      <c r="F48">
        <v>2.6685E-2</v>
      </c>
      <c r="G48">
        <v>0.149999999999999</v>
      </c>
    </row>
    <row r="49" spans="1:7">
      <c r="A49">
        <v>16.395708817349298</v>
      </c>
      <c r="B49">
        <v>2.7278E-2</v>
      </c>
      <c r="C49">
        <v>1.6131556572912199E-2</v>
      </c>
      <c r="D49">
        <v>299.99992175550801</v>
      </c>
      <c r="E49">
        <v>0.01</v>
      </c>
      <c r="F49">
        <v>2.7278E-2</v>
      </c>
      <c r="G49">
        <v>0.149999999999999</v>
      </c>
    </row>
    <row r="50" spans="1:7">
      <c r="A50">
        <v>16.395708817349298</v>
      </c>
      <c r="B50">
        <v>2.7870999999999899E-2</v>
      </c>
      <c r="C50">
        <v>1.6131556572912199E-2</v>
      </c>
      <c r="D50">
        <v>299.99992175550801</v>
      </c>
      <c r="E50">
        <v>0.01</v>
      </c>
      <c r="F50">
        <v>2.7870999999999899E-2</v>
      </c>
      <c r="G50">
        <v>0.149999999999999</v>
      </c>
    </row>
    <row r="51" spans="1:7">
      <c r="A51">
        <v>16.395708817349298</v>
      </c>
      <c r="B51">
        <v>2.8464E-2</v>
      </c>
      <c r="C51">
        <v>1.6131556572912199E-2</v>
      </c>
      <c r="D51">
        <v>299.99992175550801</v>
      </c>
      <c r="E51">
        <v>0.01</v>
      </c>
      <c r="F51">
        <v>2.8464E-2</v>
      </c>
      <c r="G51">
        <v>0.149999999999999</v>
      </c>
    </row>
    <row r="52" spans="1:7">
      <c r="A52">
        <v>16.395708817349298</v>
      </c>
      <c r="B52">
        <v>2.9056999999999899E-2</v>
      </c>
      <c r="C52">
        <v>1.6131556572912199E-2</v>
      </c>
      <c r="D52">
        <v>299.99992175550801</v>
      </c>
      <c r="E52">
        <v>0.01</v>
      </c>
      <c r="F52">
        <v>2.9056999999999899E-2</v>
      </c>
      <c r="G52">
        <v>0.149999999999999</v>
      </c>
    </row>
    <row r="53" spans="1:7">
      <c r="A53">
        <v>16.395708817349298</v>
      </c>
      <c r="B53">
        <v>2.9649999999999899E-2</v>
      </c>
      <c r="C53">
        <v>1.6131556572912199E-2</v>
      </c>
      <c r="D53">
        <v>299.99992175550801</v>
      </c>
      <c r="E53">
        <v>0.01</v>
      </c>
      <c r="F53">
        <v>2.9649999999999899E-2</v>
      </c>
      <c r="G53">
        <v>0.149999999999999</v>
      </c>
    </row>
    <row r="54" spans="1:7">
      <c r="A54">
        <v>16.395708817349298</v>
      </c>
      <c r="B54">
        <v>3.0242999999999898E-2</v>
      </c>
      <c r="C54">
        <v>1.6131556572912199E-2</v>
      </c>
      <c r="D54">
        <v>299.99992175550801</v>
      </c>
      <c r="E54">
        <v>0.01</v>
      </c>
      <c r="F54">
        <v>3.0242999999999898E-2</v>
      </c>
      <c r="G54">
        <v>0.149999999999999</v>
      </c>
    </row>
    <row r="55" spans="1:7">
      <c r="A55">
        <v>16.395708817349298</v>
      </c>
      <c r="B55">
        <v>3.0835999999999902E-2</v>
      </c>
      <c r="C55">
        <v>1.6131556572912199E-2</v>
      </c>
      <c r="D55">
        <v>299.99992175550801</v>
      </c>
      <c r="E55">
        <v>0.01</v>
      </c>
      <c r="F55">
        <v>3.0835999999999902E-2</v>
      </c>
      <c r="G55">
        <v>0.149999999999999</v>
      </c>
    </row>
    <row r="56" spans="1:7">
      <c r="A56">
        <v>16.395708817349298</v>
      </c>
      <c r="B56">
        <v>3.1428999999999901E-2</v>
      </c>
      <c r="C56">
        <v>1.6131556572912199E-2</v>
      </c>
      <c r="D56">
        <v>299.99992175550801</v>
      </c>
      <c r="E56">
        <v>0.01</v>
      </c>
      <c r="F56">
        <v>3.1428999999999901E-2</v>
      </c>
      <c r="G56">
        <v>0.149999999999999</v>
      </c>
    </row>
    <row r="57" spans="1:7">
      <c r="A57">
        <v>16.395708817349298</v>
      </c>
      <c r="B57">
        <v>3.2022000000000002E-2</v>
      </c>
      <c r="C57">
        <v>1.6131556572912199E-2</v>
      </c>
      <c r="D57">
        <v>299.99992175550801</v>
      </c>
      <c r="E57">
        <v>0.01</v>
      </c>
      <c r="F57">
        <v>3.2022000000000002E-2</v>
      </c>
      <c r="G57">
        <v>0.149999999999999</v>
      </c>
    </row>
    <row r="58" spans="1:7">
      <c r="A58">
        <v>16.395708817349298</v>
      </c>
      <c r="B58">
        <v>3.2614999999999998E-2</v>
      </c>
      <c r="C58">
        <v>1.6131556572912199E-2</v>
      </c>
      <c r="D58">
        <v>299.99992175550801</v>
      </c>
      <c r="E58">
        <v>0.01</v>
      </c>
      <c r="F58">
        <v>3.2614999999999998E-2</v>
      </c>
      <c r="G58">
        <v>0.149999999999999</v>
      </c>
    </row>
    <row r="59" spans="1:7">
      <c r="A59">
        <v>16.395028772588098</v>
      </c>
      <c r="B59">
        <v>3.3208000000000001E-2</v>
      </c>
      <c r="C59">
        <v>1.0070863860409E-2</v>
      </c>
      <c r="D59">
        <v>299.999932978537</v>
      </c>
      <c r="E59">
        <v>0.01</v>
      </c>
      <c r="F59">
        <v>3.3208000000000001E-2</v>
      </c>
      <c r="G59">
        <v>0.149999999999999</v>
      </c>
    </row>
    <row r="60" spans="1:7">
      <c r="A60">
        <v>16.395028772588098</v>
      </c>
      <c r="B60">
        <v>3.3800999999999901E-2</v>
      </c>
      <c r="C60">
        <v>1.0070863860409E-2</v>
      </c>
      <c r="D60">
        <v>299.999932978537</v>
      </c>
      <c r="E60">
        <v>0.01</v>
      </c>
      <c r="F60">
        <v>3.3800999999999901E-2</v>
      </c>
      <c r="G60">
        <v>0.149999999999999</v>
      </c>
    </row>
    <row r="61" spans="1:7">
      <c r="A61">
        <v>16.395028772588098</v>
      </c>
      <c r="B61">
        <v>3.4393999999999897E-2</v>
      </c>
      <c r="C61">
        <v>1.0070863860409E-2</v>
      </c>
      <c r="D61">
        <v>299.999932978537</v>
      </c>
      <c r="E61">
        <v>0.01</v>
      </c>
      <c r="F61">
        <v>3.4393999999999897E-2</v>
      </c>
      <c r="G61">
        <v>0.149999999999999</v>
      </c>
    </row>
    <row r="62" spans="1:7">
      <c r="A62">
        <v>16.395028772588098</v>
      </c>
      <c r="B62">
        <v>3.49869999999999E-2</v>
      </c>
      <c r="C62">
        <v>1.0070863860409E-2</v>
      </c>
      <c r="D62">
        <v>299.999932978537</v>
      </c>
      <c r="E62">
        <v>0.01</v>
      </c>
      <c r="F62">
        <v>3.49869999999999E-2</v>
      </c>
      <c r="G62">
        <v>0.149999999999999</v>
      </c>
    </row>
    <row r="63" spans="1:7">
      <c r="A63">
        <v>16.395028772588098</v>
      </c>
      <c r="B63">
        <v>3.5580000000000001E-2</v>
      </c>
      <c r="C63">
        <v>1.0070863860409E-2</v>
      </c>
      <c r="D63">
        <v>299.999932978537</v>
      </c>
      <c r="E63">
        <v>0.01</v>
      </c>
      <c r="F63">
        <v>3.5580000000000001E-2</v>
      </c>
      <c r="G63">
        <v>0.149999999999999</v>
      </c>
    </row>
    <row r="64" spans="1:7">
      <c r="A64">
        <v>16.395028772588098</v>
      </c>
      <c r="B64">
        <v>3.61729999999999E-2</v>
      </c>
      <c r="C64">
        <v>1.0070863860409E-2</v>
      </c>
      <c r="D64">
        <v>299.999932978537</v>
      </c>
      <c r="E64">
        <v>0.01</v>
      </c>
      <c r="F64">
        <v>3.61729999999999E-2</v>
      </c>
      <c r="G64">
        <v>0.149999999999999</v>
      </c>
    </row>
    <row r="65" spans="1:7">
      <c r="A65">
        <v>16.395028772588098</v>
      </c>
      <c r="B65">
        <v>3.6766E-2</v>
      </c>
      <c r="C65">
        <v>1.0070863860409E-2</v>
      </c>
      <c r="D65">
        <v>299.999932978537</v>
      </c>
      <c r="E65">
        <v>0.01</v>
      </c>
      <c r="F65">
        <v>3.6766E-2</v>
      </c>
      <c r="G65">
        <v>0.149999999999999</v>
      </c>
    </row>
    <row r="66" spans="1:7">
      <c r="A66">
        <v>16.395028772588098</v>
      </c>
      <c r="B66">
        <v>3.7358999999999899E-2</v>
      </c>
      <c r="C66">
        <v>1.0070863860409E-2</v>
      </c>
      <c r="D66">
        <v>299.999932978537</v>
      </c>
      <c r="E66">
        <v>0.01</v>
      </c>
      <c r="F66">
        <v>3.7358999999999899E-2</v>
      </c>
      <c r="G66">
        <v>0.149999999999999</v>
      </c>
    </row>
    <row r="67" spans="1:7">
      <c r="A67">
        <v>16.395028772588098</v>
      </c>
      <c r="B67">
        <v>3.7952E-2</v>
      </c>
      <c r="C67">
        <v>1.0070863860409E-2</v>
      </c>
      <c r="D67">
        <v>299.999932978537</v>
      </c>
      <c r="E67">
        <v>0.01</v>
      </c>
      <c r="F67">
        <v>3.7952E-2</v>
      </c>
      <c r="G67">
        <v>0.149999999999999</v>
      </c>
    </row>
    <row r="68" spans="1:7">
      <c r="A68">
        <v>16.395028772588098</v>
      </c>
      <c r="B68">
        <v>3.8545000000000003E-2</v>
      </c>
      <c r="C68">
        <v>1.0070863860409E-2</v>
      </c>
      <c r="D68">
        <v>299.999932978537</v>
      </c>
      <c r="E68">
        <v>0.01</v>
      </c>
      <c r="F68">
        <v>3.8545000000000003E-2</v>
      </c>
      <c r="G68">
        <v>0.149999999999999</v>
      </c>
    </row>
    <row r="69" spans="1:7">
      <c r="A69">
        <v>16.395028772588098</v>
      </c>
      <c r="B69">
        <v>3.9137999999999902E-2</v>
      </c>
      <c r="C69">
        <v>1.0070863860409E-2</v>
      </c>
      <c r="D69">
        <v>299.999932978537</v>
      </c>
      <c r="E69">
        <v>0.01</v>
      </c>
      <c r="F69">
        <v>3.9137999999999902E-2</v>
      </c>
      <c r="G69">
        <v>0.149999999999999</v>
      </c>
    </row>
    <row r="70" spans="1:7">
      <c r="A70">
        <v>16.395028772588098</v>
      </c>
      <c r="B70">
        <v>3.9731000000000002E-2</v>
      </c>
      <c r="C70">
        <v>1.0070863860409E-2</v>
      </c>
      <c r="D70">
        <v>299.999932978537</v>
      </c>
      <c r="E70">
        <v>0.01</v>
      </c>
      <c r="F70">
        <v>3.9731000000000002E-2</v>
      </c>
      <c r="G70">
        <v>0.149999999999999</v>
      </c>
    </row>
    <row r="71" spans="1:7">
      <c r="A71">
        <v>16.395028772588098</v>
      </c>
      <c r="B71">
        <v>4.0323999999999902E-2</v>
      </c>
      <c r="C71">
        <v>1.0070863860409E-2</v>
      </c>
      <c r="D71">
        <v>299.999932978537</v>
      </c>
      <c r="E71">
        <v>0.01</v>
      </c>
      <c r="F71">
        <v>4.0323999999999902E-2</v>
      </c>
      <c r="G71">
        <v>0.149999999999999</v>
      </c>
    </row>
    <row r="72" spans="1:7">
      <c r="A72">
        <v>16.395028772588098</v>
      </c>
      <c r="B72">
        <v>4.0916999999999898E-2</v>
      </c>
      <c r="C72">
        <v>1.0070863860409E-2</v>
      </c>
      <c r="D72">
        <v>299.999932978537</v>
      </c>
      <c r="E72">
        <v>0.01</v>
      </c>
      <c r="F72">
        <v>4.0916999999999898E-2</v>
      </c>
      <c r="G72">
        <v>0.149999999999999</v>
      </c>
    </row>
    <row r="73" spans="1:7">
      <c r="A73">
        <v>16.395028772588098</v>
      </c>
      <c r="B73">
        <v>4.1509999999999901E-2</v>
      </c>
      <c r="C73">
        <v>1.0070863860409E-2</v>
      </c>
      <c r="D73">
        <v>299.999932978537</v>
      </c>
      <c r="E73">
        <v>0.01</v>
      </c>
      <c r="F73">
        <v>4.1509999999999901E-2</v>
      </c>
      <c r="G73">
        <v>0.149999999999999</v>
      </c>
    </row>
    <row r="74" spans="1:7">
      <c r="A74">
        <v>16.395028772588098</v>
      </c>
      <c r="B74">
        <v>4.2102999999999897E-2</v>
      </c>
      <c r="C74">
        <v>1.0070863860409E-2</v>
      </c>
      <c r="D74">
        <v>299.999932978537</v>
      </c>
      <c r="E74">
        <v>0.01</v>
      </c>
      <c r="F74">
        <v>4.2102999999999897E-2</v>
      </c>
      <c r="G74">
        <v>0.149999999999999</v>
      </c>
    </row>
    <row r="75" spans="1:7">
      <c r="A75">
        <v>16.395028772588098</v>
      </c>
      <c r="B75">
        <v>4.2695999999999901E-2</v>
      </c>
      <c r="C75">
        <v>1.0070863860409E-2</v>
      </c>
      <c r="D75">
        <v>299.999932978537</v>
      </c>
      <c r="E75">
        <v>0.01</v>
      </c>
      <c r="F75">
        <v>4.2695999999999901E-2</v>
      </c>
      <c r="G75">
        <v>0.149999999999999</v>
      </c>
    </row>
    <row r="76" spans="1:7">
      <c r="A76">
        <v>16.395028772588098</v>
      </c>
      <c r="B76">
        <v>4.3289000000000001E-2</v>
      </c>
      <c r="C76">
        <v>1.0070863860409E-2</v>
      </c>
      <c r="D76">
        <v>299.999932978537</v>
      </c>
      <c r="E76">
        <v>0.01</v>
      </c>
      <c r="F76">
        <v>4.3289000000000001E-2</v>
      </c>
      <c r="G76">
        <v>0.149999999999999</v>
      </c>
    </row>
    <row r="77" spans="1:7">
      <c r="A77">
        <v>16.392729636007498</v>
      </c>
      <c r="B77">
        <v>4.38819999999999E-2</v>
      </c>
      <c r="C77">
        <v>3.54183476845821E-3</v>
      </c>
      <c r="D77">
        <v>299.99997091548101</v>
      </c>
      <c r="E77">
        <v>0.01</v>
      </c>
      <c r="F77">
        <v>4.38819999999999E-2</v>
      </c>
      <c r="G77">
        <v>0.149999999999999</v>
      </c>
    </row>
    <row r="78" spans="1:7">
      <c r="A78">
        <v>16.392729636007498</v>
      </c>
      <c r="B78">
        <v>4.4475000000000001E-2</v>
      </c>
      <c r="C78">
        <v>3.54183476845821E-3</v>
      </c>
      <c r="D78">
        <v>299.99997091548101</v>
      </c>
      <c r="E78">
        <v>0.01</v>
      </c>
      <c r="F78">
        <v>4.4475000000000001E-2</v>
      </c>
      <c r="G78">
        <v>0.149999999999999</v>
      </c>
    </row>
    <row r="79" spans="1:7">
      <c r="A79">
        <v>16.392729636007498</v>
      </c>
      <c r="B79">
        <v>4.50679999999999E-2</v>
      </c>
      <c r="C79">
        <v>3.54183476845821E-3</v>
      </c>
      <c r="D79">
        <v>299.99997091548101</v>
      </c>
      <c r="E79">
        <v>0.01</v>
      </c>
      <c r="F79">
        <v>4.50679999999999E-2</v>
      </c>
      <c r="G79">
        <v>0.149999999999999</v>
      </c>
    </row>
    <row r="80" spans="1:7">
      <c r="A80">
        <v>16.392729636007498</v>
      </c>
      <c r="B80">
        <v>4.5661E-2</v>
      </c>
      <c r="C80">
        <v>3.54183476845821E-3</v>
      </c>
      <c r="D80">
        <v>299.99997091548101</v>
      </c>
      <c r="E80">
        <v>0.01</v>
      </c>
      <c r="F80">
        <v>4.5661E-2</v>
      </c>
      <c r="G80">
        <v>0.149999999999999</v>
      </c>
    </row>
    <row r="81" spans="1:7">
      <c r="A81">
        <v>16.392729636007498</v>
      </c>
      <c r="B81">
        <v>4.6254000000000003E-2</v>
      </c>
      <c r="C81">
        <v>3.54183476845821E-3</v>
      </c>
      <c r="D81">
        <v>299.99997091548101</v>
      </c>
      <c r="E81">
        <v>0.01</v>
      </c>
      <c r="F81">
        <v>4.6254000000000003E-2</v>
      </c>
      <c r="G81">
        <v>0.149999999999999</v>
      </c>
    </row>
    <row r="82" spans="1:7">
      <c r="A82">
        <v>16.392729636007498</v>
      </c>
      <c r="B82">
        <v>4.6847E-2</v>
      </c>
      <c r="C82">
        <v>3.54183476845821E-3</v>
      </c>
      <c r="D82">
        <v>299.99997091548101</v>
      </c>
      <c r="E82">
        <v>0.01</v>
      </c>
      <c r="F82">
        <v>4.6847E-2</v>
      </c>
      <c r="G82">
        <v>0.149999999999999</v>
      </c>
    </row>
    <row r="83" spans="1:7">
      <c r="A83">
        <v>16.392729636007498</v>
      </c>
      <c r="B83">
        <v>4.7440000000000003E-2</v>
      </c>
      <c r="C83">
        <v>3.54183476845821E-3</v>
      </c>
      <c r="D83">
        <v>299.99997091548101</v>
      </c>
      <c r="E83">
        <v>0.01</v>
      </c>
      <c r="F83">
        <v>4.7440000000000003E-2</v>
      </c>
      <c r="G83">
        <v>0.149999999999999</v>
      </c>
    </row>
    <row r="84" spans="1:7">
      <c r="A84">
        <v>16.392729636007498</v>
      </c>
      <c r="B84">
        <v>4.8032999999999902E-2</v>
      </c>
      <c r="C84">
        <v>3.54183476845821E-3</v>
      </c>
      <c r="D84">
        <v>299.99997091548101</v>
      </c>
      <c r="E84">
        <v>0.01</v>
      </c>
      <c r="F84">
        <v>4.8032999999999902E-2</v>
      </c>
      <c r="G84">
        <v>0.149999999999999</v>
      </c>
    </row>
    <row r="85" spans="1:7">
      <c r="A85">
        <v>16.392729636007498</v>
      </c>
      <c r="B85">
        <v>4.8625999999999898E-2</v>
      </c>
      <c r="C85">
        <v>3.54183476845821E-3</v>
      </c>
      <c r="D85">
        <v>299.99997091548101</v>
      </c>
      <c r="E85">
        <v>0.01</v>
      </c>
      <c r="F85">
        <v>4.8625999999999898E-2</v>
      </c>
      <c r="G85">
        <v>0.149999999999999</v>
      </c>
    </row>
    <row r="86" spans="1:7">
      <c r="A86">
        <v>16.392729636007498</v>
      </c>
      <c r="B86">
        <v>4.9218999999999902E-2</v>
      </c>
      <c r="C86">
        <v>3.54183476845821E-3</v>
      </c>
      <c r="D86">
        <v>299.99997091548101</v>
      </c>
      <c r="E86">
        <v>0.01</v>
      </c>
      <c r="F86">
        <v>4.9218999999999902E-2</v>
      </c>
      <c r="G86">
        <v>0.149999999999999</v>
      </c>
    </row>
    <row r="87" spans="1:7">
      <c r="A87">
        <v>16.392729636007498</v>
      </c>
      <c r="B87">
        <v>4.9811999999999898E-2</v>
      </c>
      <c r="C87">
        <v>3.54183476845821E-3</v>
      </c>
      <c r="D87">
        <v>299.99997091548101</v>
      </c>
      <c r="E87">
        <v>0.01</v>
      </c>
      <c r="F87">
        <v>4.9811999999999898E-2</v>
      </c>
      <c r="G87">
        <v>0.149999999999999</v>
      </c>
    </row>
    <row r="88" spans="1:7">
      <c r="A88">
        <v>16.392729636007498</v>
      </c>
      <c r="B88">
        <v>5.0404999999999901E-2</v>
      </c>
      <c r="C88">
        <v>3.54183476845821E-3</v>
      </c>
      <c r="D88">
        <v>299.99997091548101</v>
      </c>
      <c r="E88">
        <v>0.01</v>
      </c>
      <c r="F88">
        <v>5.0404999999999901E-2</v>
      </c>
      <c r="G88">
        <v>0.149999999999999</v>
      </c>
    </row>
    <row r="89" spans="1:7">
      <c r="A89">
        <v>16.392729636007498</v>
      </c>
      <c r="B89">
        <v>5.0997999999999898E-2</v>
      </c>
      <c r="C89">
        <v>3.54183476845821E-3</v>
      </c>
      <c r="D89">
        <v>299.99997091548101</v>
      </c>
      <c r="E89">
        <v>0.01</v>
      </c>
      <c r="F89">
        <v>5.0997999999999898E-2</v>
      </c>
      <c r="G89">
        <v>0.149999999999999</v>
      </c>
    </row>
    <row r="90" spans="1:7">
      <c r="A90">
        <v>16.392729636007498</v>
      </c>
      <c r="B90">
        <v>5.1590999999999901E-2</v>
      </c>
      <c r="C90">
        <v>3.54183476845821E-3</v>
      </c>
      <c r="D90">
        <v>299.99997091548101</v>
      </c>
      <c r="E90">
        <v>0.01</v>
      </c>
      <c r="F90">
        <v>5.1590999999999901E-2</v>
      </c>
      <c r="G90">
        <v>0.149999999999999</v>
      </c>
    </row>
    <row r="91" spans="1:7">
      <c r="A91">
        <v>16.392729636007498</v>
      </c>
      <c r="B91">
        <v>5.2184000000000001E-2</v>
      </c>
      <c r="C91">
        <v>3.54183476845821E-3</v>
      </c>
      <c r="D91">
        <v>299.99997091548101</v>
      </c>
      <c r="E91">
        <v>0.01</v>
      </c>
      <c r="F91">
        <v>5.2184000000000001E-2</v>
      </c>
      <c r="G91">
        <v>0.149999999999999</v>
      </c>
    </row>
    <row r="92" spans="1:7">
      <c r="A92">
        <v>16.392729636007498</v>
      </c>
      <c r="B92">
        <v>5.27769999999999E-2</v>
      </c>
      <c r="C92">
        <v>3.54183476845821E-3</v>
      </c>
      <c r="D92">
        <v>299.99997091548101</v>
      </c>
      <c r="E92">
        <v>0.01</v>
      </c>
      <c r="F92">
        <v>5.27769999999999E-2</v>
      </c>
      <c r="G92">
        <v>0.149999999999999</v>
      </c>
    </row>
    <row r="93" spans="1:7">
      <c r="A93">
        <v>16.392729636007498</v>
      </c>
      <c r="B93">
        <v>5.3370000000000001E-2</v>
      </c>
      <c r="C93">
        <v>3.54183476845821E-3</v>
      </c>
      <c r="D93">
        <v>299.99997091548101</v>
      </c>
      <c r="E93">
        <v>0.01</v>
      </c>
      <c r="F93">
        <v>5.3370000000000001E-2</v>
      </c>
      <c r="G93">
        <v>0.149999999999999</v>
      </c>
    </row>
    <row r="94" spans="1:7">
      <c r="A94">
        <v>16.392729636007498</v>
      </c>
      <c r="B94">
        <v>5.39629999999999E-2</v>
      </c>
      <c r="C94">
        <v>3.54183476845821E-3</v>
      </c>
      <c r="D94">
        <v>299.99997091548101</v>
      </c>
      <c r="E94">
        <v>0.01</v>
      </c>
      <c r="F94">
        <v>5.39629999999999E-2</v>
      </c>
      <c r="G94">
        <v>0.149999999999999</v>
      </c>
    </row>
    <row r="95" spans="1:7">
      <c r="A95">
        <v>16.393708954680001</v>
      </c>
      <c r="B95">
        <v>5.4556E-2</v>
      </c>
      <c r="C95">
        <v>8.9774738561633396E-4</v>
      </c>
      <c r="D95">
        <v>299.99995474590901</v>
      </c>
      <c r="E95">
        <v>0.01</v>
      </c>
      <c r="F95">
        <v>5.4556E-2</v>
      </c>
      <c r="G95">
        <v>0.149999999999999</v>
      </c>
    </row>
    <row r="96" spans="1:7">
      <c r="A96">
        <v>16.393708954680001</v>
      </c>
      <c r="B96">
        <v>5.5148999999999997E-2</v>
      </c>
      <c r="C96">
        <v>8.9774738561633396E-4</v>
      </c>
      <c r="D96">
        <v>299.99995474590901</v>
      </c>
      <c r="E96">
        <v>0.01</v>
      </c>
      <c r="F96">
        <v>5.5148999999999997E-2</v>
      </c>
      <c r="G96">
        <v>0.149999999999999</v>
      </c>
    </row>
    <row r="97" spans="1:7">
      <c r="A97">
        <v>16.393708954680001</v>
      </c>
      <c r="B97">
        <v>5.5741999999999903E-2</v>
      </c>
      <c r="C97">
        <v>8.9774738561633396E-4</v>
      </c>
      <c r="D97">
        <v>299.99995474590901</v>
      </c>
      <c r="E97">
        <v>0.01</v>
      </c>
      <c r="F97">
        <v>5.5741999999999903E-2</v>
      </c>
      <c r="G97">
        <v>0.149999999999999</v>
      </c>
    </row>
    <row r="98" spans="1:7">
      <c r="A98">
        <v>16.393708954680001</v>
      </c>
      <c r="B98">
        <v>5.6334999999999899E-2</v>
      </c>
      <c r="C98">
        <v>8.9774738561633396E-4</v>
      </c>
      <c r="D98">
        <v>299.99995474590901</v>
      </c>
      <c r="E98">
        <v>0.01</v>
      </c>
      <c r="F98">
        <v>5.6334999999999899E-2</v>
      </c>
      <c r="G98">
        <v>0.149999999999999</v>
      </c>
    </row>
    <row r="99" spans="1:7">
      <c r="A99">
        <v>16.393708954680001</v>
      </c>
      <c r="B99">
        <v>5.6927999999999902E-2</v>
      </c>
      <c r="C99">
        <v>8.9774738561633396E-4</v>
      </c>
      <c r="D99">
        <v>299.99995474590901</v>
      </c>
      <c r="E99">
        <v>0.01</v>
      </c>
      <c r="F99">
        <v>5.6927999999999902E-2</v>
      </c>
      <c r="G99">
        <v>0.149999999999999</v>
      </c>
    </row>
    <row r="100" spans="1:7">
      <c r="A100">
        <v>16.393708954680001</v>
      </c>
      <c r="B100">
        <v>5.7520999999999899E-2</v>
      </c>
      <c r="C100">
        <v>8.9774738561633396E-4</v>
      </c>
      <c r="D100">
        <v>299.99995474590901</v>
      </c>
      <c r="E100">
        <v>0.01</v>
      </c>
      <c r="F100">
        <v>5.7520999999999899E-2</v>
      </c>
      <c r="G100">
        <v>0.149999999999999</v>
      </c>
    </row>
    <row r="101" spans="1:7">
      <c r="A101">
        <v>16.393708954680001</v>
      </c>
      <c r="B101">
        <v>5.8113999999999902E-2</v>
      </c>
      <c r="C101">
        <v>8.9774738561633396E-4</v>
      </c>
      <c r="D101">
        <v>299.99995474590901</v>
      </c>
      <c r="E101">
        <v>0.01</v>
      </c>
      <c r="F101">
        <v>5.8113999999999902E-2</v>
      </c>
      <c r="G101">
        <v>0.149999999999999</v>
      </c>
    </row>
    <row r="102" spans="1:7">
      <c r="A102">
        <v>16.393708954680001</v>
      </c>
      <c r="B102">
        <v>5.8706999999999898E-2</v>
      </c>
      <c r="C102">
        <v>8.9774738561633396E-4</v>
      </c>
      <c r="D102">
        <v>299.99995474590901</v>
      </c>
      <c r="E102">
        <v>0.01</v>
      </c>
      <c r="F102">
        <v>5.8706999999999898E-2</v>
      </c>
      <c r="G102">
        <v>0.149999999999999</v>
      </c>
    </row>
    <row r="103" spans="1:7">
      <c r="A103">
        <v>16.393708954680001</v>
      </c>
      <c r="B103">
        <v>5.9299999999999901E-2</v>
      </c>
      <c r="C103">
        <v>8.9774738561633396E-4</v>
      </c>
      <c r="D103">
        <v>299.99995474590901</v>
      </c>
      <c r="E103">
        <v>0.01</v>
      </c>
      <c r="F103">
        <v>5.9299999999999901E-2</v>
      </c>
      <c r="G103">
        <v>0.149999999999999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3051DB-6803-433B-AA26-35DB8D7BC9BF}">
  <dimension ref="A1:AK103"/>
  <sheetViews>
    <sheetView tabSelected="1" topLeftCell="A43" zoomScale="80" zoomScaleNormal="80" workbookViewId="0">
      <selection activeCell="AL44" sqref="AL44"/>
    </sheetView>
  </sheetViews>
  <sheetFormatPr defaultRowHeight="14.25"/>
  <cols>
    <col min="24" max="25" width="10.1328125" bestFit="1" customWidth="1"/>
    <col min="26" max="27" width="10.73046875" bestFit="1" customWidth="1"/>
    <col min="31" max="31" width="9.06640625" style="1"/>
    <col min="34" max="34" width="12.33203125" bestFit="1" customWidth="1"/>
  </cols>
  <sheetData>
    <row r="1" spans="1:37">
      <c r="A1" t="s">
        <v>7</v>
      </c>
      <c r="I1" t="s">
        <v>8</v>
      </c>
      <c r="W1" t="s">
        <v>19</v>
      </c>
      <c r="AE1" s="2" t="s">
        <v>31</v>
      </c>
      <c r="AF1" t="s">
        <v>32</v>
      </c>
      <c r="AG1" t="s">
        <v>33</v>
      </c>
      <c r="AH1" t="s">
        <v>34</v>
      </c>
      <c r="AJ1" t="s">
        <v>35</v>
      </c>
      <c r="AK1" t="s">
        <v>36</v>
      </c>
    </row>
    <row r="2" spans="1:37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I2" s="2"/>
      <c r="J2" t="s">
        <v>22</v>
      </c>
      <c r="K2" t="s">
        <v>23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s="2"/>
      <c r="T2" t="s">
        <v>25</v>
      </c>
      <c r="U2" t="s">
        <v>26</v>
      </c>
      <c r="W2" t="s">
        <v>5</v>
      </c>
      <c r="X2" t="s">
        <v>27</v>
      </c>
      <c r="Y2" t="s">
        <v>28</v>
      </c>
      <c r="Z2" t="s">
        <v>29</v>
      </c>
      <c r="AA2" t="s">
        <v>30</v>
      </c>
      <c r="AB2" t="s">
        <v>7</v>
      </c>
      <c r="AC2" t="s">
        <v>8</v>
      </c>
      <c r="AE2" s="2">
        <v>-10</v>
      </c>
      <c r="AF2">
        <v>4.1939999999999998E-2</v>
      </c>
      <c r="AG2" s="5">
        <v>-0.30109999999999898</v>
      </c>
      <c r="AH2">
        <v>-0.30345677495362899</v>
      </c>
      <c r="AI2">
        <f>AE2/100</f>
        <v>-0.1</v>
      </c>
      <c r="AJ2" s="9">
        <f>AH35+(AI2-AG35)*(AH36-AH35)/(AG36-AG35)</f>
        <v>2.3290697876036753E-2</v>
      </c>
      <c r="AK2" s="9">
        <v>4.1939999999999998E-2</v>
      </c>
    </row>
    <row r="3" spans="1:37">
      <c r="A3" s="3">
        <v>11.0100721465805</v>
      </c>
      <c r="B3" s="3">
        <v>0</v>
      </c>
      <c r="C3">
        <v>8.4624621173145301E-3</v>
      </c>
      <c r="D3">
        <v>302.19752795384198</v>
      </c>
      <c r="E3">
        <v>0.153</v>
      </c>
      <c r="F3">
        <v>0</v>
      </c>
      <c r="G3">
        <v>0.154</v>
      </c>
      <c r="I3" s="2"/>
      <c r="J3">
        <v>5.5E-2</v>
      </c>
      <c r="K3">
        <v>0.13472999999999999</v>
      </c>
      <c r="L3">
        <v>0.60358999999999996</v>
      </c>
      <c r="M3">
        <v>0.60460000000000003</v>
      </c>
      <c r="N3">
        <v>16.069420000000001</v>
      </c>
      <c r="O3">
        <v>6.8776700000000002</v>
      </c>
      <c r="P3">
        <v>1.7459</v>
      </c>
      <c r="Q3">
        <v>7.0958100000000002</v>
      </c>
      <c r="R3">
        <v>14.244</v>
      </c>
      <c r="S3" s="2">
        <f>T3/100</f>
        <v>0</v>
      </c>
      <c r="T3">
        <v>0</v>
      </c>
      <c r="U3">
        <v>44.92</v>
      </c>
      <c r="W3">
        <v>5.5000000000000003E-4</v>
      </c>
      <c r="X3">
        <f>A3+(W3-B3)*(A4-A3)/(B4-B3)</f>
        <v>11.0100721465805</v>
      </c>
      <c r="Y3">
        <f>O3</f>
        <v>6.8776700000000002</v>
      </c>
      <c r="Z3" s="4">
        <f>C3+(W3-B3)*(C4-C3)/(B4-B3)</f>
        <v>8.4624621173145301E-3</v>
      </c>
      <c r="AA3">
        <f>P3</f>
        <v>1.7459</v>
      </c>
      <c r="AB3">
        <f>D3+(W3-B3)*(D4-D3)/(B4-B3)</f>
        <v>302.19752795384198</v>
      </c>
      <c r="AC3">
        <f>(U6+(W3-S6)*(U7-U6)/(S7-S6))+273</f>
        <v>310.51956923076921</v>
      </c>
      <c r="AE3" s="2">
        <v>-9</v>
      </c>
      <c r="AF3">
        <v>4.8689999999999997E-2</v>
      </c>
      <c r="AG3" s="5">
        <v>-0.29507799999999901</v>
      </c>
      <c r="AH3">
        <v>-0.28765428291004902</v>
      </c>
      <c r="AI3">
        <f t="shared" ref="AI3:AI39" si="0">AE3/100</f>
        <v>-0.09</v>
      </c>
      <c r="AJ3" s="9">
        <f>AH37</f>
        <v>3.0264500138022801E-2</v>
      </c>
      <c r="AK3" s="9">
        <v>4.8689999999999997E-2</v>
      </c>
    </row>
    <row r="4" spans="1:37">
      <c r="A4" s="3">
        <v>11.0100721465805</v>
      </c>
      <c r="B4" s="3">
        <v>5.9299999999999902E-4</v>
      </c>
      <c r="C4">
        <v>8.4624621173145301E-3</v>
      </c>
      <c r="D4">
        <v>302.19752795384198</v>
      </c>
      <c r="E4">
        <v>0.153</v>
      </c>
      <c r="F4">
        <v>5.9299999999999902E-4</v>
      </c>
      <c r="G4">
        <v>0.154</v>
      </c>
      <c r="I4" s="2"/>
      <c r="J4">
        <v>6.5000000000000002E-2</v>
      </c>
      <c r="K4">
        <v>0.13472999999999999</v>
      </c>
      <c r="L4">
        <v>0.60358999999999996</v>
      </c>
      <c r="M4">
        <v>0.60460000000000003</v>
      </c>
      <c r="N4">
        <v>16.06944</v>
      </c>
      <c r="O4">
        <v>7.22112</v>
      </c>
      <c r="P4">
        <v>1.78478</v>
      </c>
      <c r="Q4">
        <v>7.4384100000000002</v>
      </c>
      <c r="R4">
        <v>13.882999999999999</v>
      </c>
      <c r="S4" s="2">
        <f t="shared" ref="S4:S28" si="1">T4/100</f>
        <v>3.5999999999999997E-4</v>
      </c>
      <c r="T4">
        <v>3.5999999999999997E-2</v>
      </c>
      <c r="U4">
        <v>39.215899999999998</v>
      </c>
      <c r="W4">
        <v>6.4999999999999997E-4</v>
      </c>
      <c r="X4">
        <f>A4+(W4-B4)*(A5-A4)/(B5-B4)</f>
        <v>11.274768545510822</v>
      </c>
      <c r="Y4">
        <f t="shared" ref="Y4:Y27" si="2">O4</f>
        <v>7.22112</v>
      </c>
      <c r="Z4" s="4">
        <f>C4+(W4-B4)*(C5-C4)/(B5-B4)</f>
        <v>9.7712414295696073E-3</v>
      </c>
      <c r="AA4">
        <f t="shared" ref="AA4:AA27" si="3">P4</f>
        <v>1.78478</v>
      </c>
      <c r="AB4">
        <f>D4+(W4-B4)*(D5-D4)/(B5-B4)</f>
        <v>302.06204907944607</v>
      </c>
      <c r="AC4">
        <f t="shared" ref="AC4:AC11" si="4">(U6+(W4-S6)*(U7-U6)/(S7-S6))+273</f>
        <v>309.77426153846153</v>
      </c>
      <c r="AE4" s="2">
        <v>-8</v>
      </c>
      <c r="AF4">
        <v>5.5059999999999998E-2</v>
      </c>
      <c r="AG4" s="5">
        <v>-0.28905599999999898</v>
      </c>
      <c r="AH4">
        <v>-0.25755364505526002</v>
      </c>
      <c r="AI4">
        <f t="shared" si="0"/>
        <v>-0.08</v>
      </c>
      <c r="AJ4" s="9">
        <f>AH38+(AI4-AG38)*(AH39-AH38)/(AG39-AG38)</f>
        <v>3.8801669814521898E-2</v>
      </c>
      <c r="AK4" s="9">
        <v>5.5059999999999998E-2</v>
      </c>
    </row>
    <row r="5" spans="1:37">
      <c r="A5" s="3">
        <v>13.763843454750299</v>
      </c>
      <c r="B5" s="3">
        <v>1.186E-3</v>
      </c>
      <c r="C5">
        <v>2.2078359172880299E-2</v>
      </c>
      <c r="D5">
        <v>300.78807229565302</v>
      </c>
      <c r="E5">
        <v>0.153</v>
      </c>
      <c r="F5">
        <v>1.186E-3</v>
      </c>
      <c r="G5">
        <v>0.154</v>
      </c>
      <c r="I5" s="2"/>
      <c r="J5">
        <v>7.6999999999999999E-2</v>
      </c>
      <c r="K5">
        <v>0.13472999999999999</v>
      </c>
      <c r="L5">
        <v>0.60358999999999996</v>
      </c>
      <c r="M5">
        <v>0.60460000000000003</v>
      </c>
      <c r="N5">
        <v>16.065280000000001</v>
      </c>
      <c r="O5">
        <v>7.6645700000000003</v>
      </c>
      <c r="P5">
        <v>1.84615</v>
      </c>
      <c r="Q5">
        <v>7.8837700000000002</v>
      </c>
      <c r="R5">
        <v>13.542999999999999</v>
      </c>
      <c r="S5" s="2">
        <f t="shared" si="1"/>
        <v>4.3999999999999996E-4</v>
      </c>
      <c r="T5">
        <v>4.3999999999999997E-2</v>
      </c>
      <c r="U5">
        <v>38.513800000000003</v>
      </c>
      <c r="W5">
        <v>7.6999999999999996E-4</v>
      </c>
      <c r="X5">
        <f>A4+(W5-B4)*(A5-A4)/(B5-B4)</f>
        <v>11.832024122206228</v>
      </c>
      <c r="Y5">
        <f t="shared" si="2"/>
        <v>7.6645700000000003</v>
      </c>
      <c r="Z5" s="4">
        <f>C4+(W5-B4)*(C5-C4)/(B5-B4)</f>
        <v>1.2526566297474985E-2</v>
      </c>
      <c r="AA5">
        <f t="shared" si="3"/>
        <v>1.84615</v>
      </c>
      <c r="AB5">
        <f>D4+(W5-B4)*(D5-D4)/(B5-B4)</f>
        <v>301.77683039650731</v>
      </c>
      <c r="AC5">
        <f t="shared" si="4"/>
        <v>309.19482499999998</v>
      </c>
      <c r="AE5" s="2">
        <v>-7</v>
      </c>
      <c r="AF5">
        <v>6.1580000000000003E-2</v>
      </c>
      <c r="AG5" s="5">
        <v>-0.28303400000000001</v>
      </c>
      <c r="AH5">
        <v>-0.24103381150591099</v>
      </c>
      <c r="AI5">
        <f t="shared" si="0"/>
        <v>-7.0000000000000007E-2</v>
      </c>
      <c r="AJ5" s="9">
        <f>AH40+(AI5-AG40)*(AH41-AH40)/(AG41-AG40)</f>
        <v>4.9353407311606819E-2</v>
      </c>
      <c r="AK5" s="9">
        <v>6.1580000000000003E-2</v>
      </c>
    </row>
    <row r="6" spans="1:37">
      <c r="A6" s="3">
        <v>13.763843454750299</v>
      </c>
      <c r="B6" s="3">
        <v>1.779E-3</v>
      </c>
      <c r="C6">
        <v>2.2078359172880299E-2</v>
      </c>
      <c r="D6">
        <v>300.78807229565302</v>
      </c>
      <c r="E6">
        <v>0.153</v>
      </c>
      <c r="F6">
        <v>1.779E-3</v>
      </c>
      <c r="G6">
        <v>0.154</v>
      </c>
      <c r="I6" s="2"/>
      <c r="J6">
        <v>9.1999999999999998E-2</v>
      </c>
      <c r="K6">
        <v>0.13472999999999999</v>
      </c>
      <c r="L6">
        <v>0.60358999999999996</v>
      </c>
      <c r="M6">
        <v>0.60460000000000003</v>
      </c>
      <c r="N6">
        <v>16.063569999999999</v>
      </c>
      <c r="O6">
        <v>7.9711400000000001</v>
      </c>
      <c r="P6">
        <v>1.9071199999999999</v>
      </c>
      <c r="Q6">
        <v>8.1960999999999995</v>
      </c>
      <c r="R6">
        <v>13.455</v>
      </c>
      <c r="S6" s="2">
        <f t="shared" si="1"/>
        <v>5.4000000000000001E-4</v>
      </c>
      <c r="T6">
        <v>5.3999999999999999E-2</v>
      </c>
      <c r="U6">
        <v>37.594099999999997</v>
      </c>
      <c r="W6">
        <v>9.2000000000000003E-4</v>
      </c>
      <c r="X6">
        <f>A4+(W6-B4)*(A5-A4)/(B5-B4)</f>
        <v>12.528593593075485</v>
      </c>
      <c r="Y6">
        <f t="shared" si="2"/>
        <v>7.9711400000000001</v>
      </c>
      <c r="Z6" s="4">
        <f>C4+(W6-B4)*(C5-C4)/(B5-B4)</f>
        <v>1.5970722382356708E-2</v>
      </c>
      <c r="AA6">
        <f t="shared" si="3"/>
        <v>1.9071199999999999</v>
      </c>
      <c r="AB6">
        <f>D4+(W6-B4)*(D5-D4)/(B5-B4)</f>
        <v>301.42030704283388</v>
      </c>
      <c r="AC6">
        <f t="shared" si="4"/>
        <v>308.64279499999998</v>
      </c>
      <c r="AE6" s="2">
        <v>-6</v>
      </c>
      <c r="AF6">
        <v>6.6379999999999995E-2</v>
      </c>
      <c r="AG6" s="5">
        <v>-0.27701199999999898</v>
      </c>
      <c r="AH6">
        <v>-0.24103381150591099</v>
      </c>
      <c r="AI6">
        <f t="shared" si="0"/>
        <v>-0.06</v>
      </c>
      <c r="AJ6" s="9">
        <f>AH42</f>
        <v>4.6282532902743E-2</v>
      </c>
      <c r="AK6" s="9">
        <v>6.6379999999999995E-2</v>
      </c>
    </row>
    <row r="7" spans="1:37">
      <c r="A7" s="3">
        <v>15.6232008636277</v>
      </c>
      <c r="B7" s="3">
        <v>2.372E-3</v>
      </c>
      <c r="C7">
        <v>4.2823041776647801E-2</v>
      </c>
      <c r="D7">
        <v>300.18702560082102</v>
      </c>
      <c r="E7">
        <v>0.153</v>
      </c>
      <c r="F7">
        <v>2.372E-3</v>
      </c>
      <c r="G7">
        <v>0.154</v>
      </c>
      <c r="I7" s="2"/>
      <c r="J7">
        <v>0.112</v>
      </c>
      <c r="K7">
        <v>0.13472999999999999</v>
      </c>
      <c r="L7">
        <v>0.60358999999999996</v>
      </c>
      <c r="M7">
        <v>0.60460000000000003</v>
      </c>
      <c r="N7">
        <v>16.06673</v>
      </c>
      <c r="O7">
        <v>8.3943499999999993</v>
      </c>
      <c r="P7">
        <v>1.9297899999999999</v>
      </c>
      <c r="Q7">
        <v>8.6133199999999999</v>
      </c>
      <c r="R7">
        <v>12.946999999999999</v>
      </c>
      <c r="S7" s="2">
        <f t="shared" si="1"/>
        <v>6.7000000000000002E-4</v>
      </c>
      <c r="T7">
        <v>6.7000000000000004E-2</v>
      </c>
      <c r="U7">
        <v>36.6252</v>
      </c>
      <c r="W7">
        <v>1.1200000000000001E-3</v>
      </c>
      <c r="X7">
        <f>A4+(W7-B4)*(A5-A4)/(B5-B4)</f>
        <v>13.457352887567827</v>
      </c>
      <c r="Y7">
        <f t="shared" si="2"/>
        <v>8.3943499999999993</v>
      </c>
      <c r="Z7" s="4">
        <f>C4+(W7-B4)*(C5-C4)/(B5-B4)</f>
        <v>2.0562930495532344E-2</v>
      </c>
      <c r="AA7">
        <f t="shared" si="3"/>
        <v>1.9297899999999999</v>
      </c>
      <c r="AB7">
        <f>D4+(W7-B4)*(D5-D4)/(B5-B4)</f>
        <v>300.94494257126934</v>
      </c>
      <c r="AC7">
        <f t="shared" si="4"/>
        <v>308.10527500000001</v>
      </c>
      <c r="AE7" s="2">
        <v>-5</v>
      </c>
      <c r="AF7">
        <v>7.0519999999999999E-2</v>
      </c>
      <c r="AG7" s="5">
        <v>-0.27098999999999901</v>
      </c>
      <c r="AH7">
        <v>-0.24103381150591099</v>
      </c>
      <c r="AI7">
        <f t="shared" si="0"/>
        <v>-0.05</v>
      </c>
      <c r="AJ7" s="9">
        <f>AH43+(AI7-AG43)*(AH44-AH43)/(AG44-AG43)</f>
        <v>5.6771085577339397E-2</v>
      </c>
      <c r="AK7" s="9">
        <v>7.0519999999999999E-2</v>
      </c>
    </row>
    <row r="8" spans="1:37">
      <c r="A8" s="3">
        <v>15.6232008636277</v>
      </c>
      <c r="B8" s="3">
        <v>2.9650000000000002E-3</v>
      </c>
      <c r="C8">
        <v>4.2823041776647801E-2</v>
      </c>
      <c r="D8">
        <v>300.18702560082102</v>
      </c>
      <c r="E8">
        <v>0.153</v>
      </c>
      <c r="F8">
        <v>2.9650000000000002E-3</v>
      </c>
      <c r="G8">
        <v>0.154</v>
      </c>
      <c r="I8" s="2"/>
      <c r="J8">
        <v>0.13500000000000001</v>
      </c>
      <c r="K8">
        <v>0.13472999999999999</v>
      </c>
      <c r="L8">
        <v>0.60358999999999996</v>
      </c>
      <c r="M8">
        <v>0.60460000000000003</v>
      </c>
      <c r="N8">
        <v>16.064419999999998</v>
      </c>
      <c r="O8">
        <v>8.6412800000000001</v>
      </c>
      <c r="P8">
        <v>1.9468000000000001</v>
      </c>
      <c r="Q8">
        <v>8.8578600000000005</v>
      </c>
      <c r="R8">
        <v>12.696</v>
      </c>
      <c r="S8" s="2">
        <f t="shared" si="1"/>
        <v>8.3000000000000001E-4</v>
      </c>
      <c r="T8">
        <v>8.3000000000000004E-2</v>
      </c>
      <c r="U8">
        <v>35.936599999999999</v>
      </c>
      <c r="W8">
        <v>1.3500000000000001E-3</v>
      </c>
      <c r="X8">
        <f>A5+(W8-B5)*(A6-A5)/(B6-B5)</f>
        <v>13.763843454750299</v>
      </c>
      <c r="Y8">
        <f t="shared" si="2"/>
        <v>8.6412800000000001</v>
      </c>
      <c r="Z8" s="4">
        <f>C5+(W8-B5)*(C6-C5)/(B6-B5)</f>
        <v>2.2078359172880299E-2</v>
      </c>
      <c r="AA8">
        <f t="shared" si="3"/>
        <v>1.9468000000000001</v>
      </c>
      <c r="AB8">
        <f>D5+(W8-B5)*(D6-D5)/(B6-B5)</f>
        <v>300.78807229565302</v>
      </c>
      <c r="AC8">
        <f t="shared" si="4"/>
        <v>307.71051333333332</v>
      </c>
      <c r="AE8" s="2">
        <v>-4</v>
      </c>
      <c r="AF8">
        <v>7.4029999999999999E-2</v>
      </c>
      <c r="AG8" s="5">
        <v>-0.26496799999999898</v>
      </c>
      <c r="AH8">
        <v>-0.208430697097722</v>
      </c>
      <c r="AI8">
        <f t="shared" si="0"/>
        <v>-0.04</v>
      </c>
      <c r="AJ8" s="9">
        <f>AH45+(AI8-AG45)*(AH46-AH45)/(AG46-AG45)</f>
        <v>5.7863834947441919E-2</v>
      </c>
      <c r="AK8" s="9">
        <v>7.4029999999999999E-2</v>
      </c>
    </row>
    <row r="9" spans="1:37">
      <c r="A9" s="3">
        <v>15.6232008636277</v>
      </c>
      <c r="B9" s="3">
        <v>3.558E-3</v>
      </c>
      <c r="C9">
        <v>4.2823041776647801E-2</v>
      </c>
      <c r="D9">
        <v>300.18702560082102</v>
      </c>
      <c r="E9">
        <v>0.153</v>
      </c>
      <c r="F9">
        <v>3.558E-3</v>
      </c>
      <c r="G9">
        <v>0.154</v>
      </c>
      <c r="I9" s="2"/>
      <c r="J9">
        <v>0.16500000000000001</v>
      </c>
      <c r="K9">
        <v>0.13472999999999999</v>
      </c>
      <c r="L9">
        <v>0.60358999999999996</v>
      </c>
      <c r="M9">
        <v>0.60460000000000003</v>
      </c>
      <c r="N9">
        <v>16.06127</v>
      </c>
      <c r="O9">
        <v>8.8538999999999994</v>
      </c>
      <c r="P9">
        <v>1.94425</v>
      </c>
      <c r="Q9">
        <v>9.0648599999999995</v>
      </c>
      <c r="R9">
        <v>12.385</v>
      </c>
      <c r="S9" s="2">
        <f t="shared" si="1"/>
        <v>1.0299999999999999E-3</v>
      </c>
      <c r="T9">
        <v>0.10299999999999999</v>
      </c>
      <c r="U9">
        <v>35.283700000000003</v>
      </c>
      <c r="W9">
        <v>1.65E-3</v>
      </c>
      <c r="X9">
        <f>A5+(W9-B5)*(A6-A5)/(B6-B5)</f>
        <v>13.763843454750299</v>
      </c>
      <c r="Y9">
        <f t="shared" si="2"/>
        <v>8.8538999999999994</v>
      </c>
      <c r="Z9" s="4">
        <f>C5+(W9-B5)*(C6-C5)/(B6-B5)</f>
        <v>2.2078359172880299E-2</v>
      </c>
      <c r="AA9">
        <f t="shared" si="3"/>
        <v>1.94425</v>
      </c>
      <c r="AB9">
        <f>D5+(W9-B5)*(D6-D5)/(B6-B5)</f>
        <v>300.78807229565302</v>
      </c>
      <c r="AC9">
        <f t="shared" si="4"/>
        <v>307.35752105263157</v>
      </c>
      <c r="AE9" s="2">
        <v>-3</v>
      </c>
      <c r="AF9">
        <v>7.7090000000000006E-2</v>
      </c>
      <c r="AG9" s="5">
        <v>-0.25894599999999901</v>
      </c>
      <c r="AH9">
        <v>-0.19013905204499701</v>
      </c>
      <c r="AI9">
        <f>AE9/100</f>
        <v>-0.03</v>
      </c>
      <c r="AJ9" s="9">
        <f>AH47</f>
        <v>5.9826116546121903E-2</v>
      </c>
      <c r="AK9" s="9">
        <v>7.7090000000000006E-2</v>
      </c>
    </row>
    <row r="10" spans="1:37">
      <c r="A10" s="3">
        <v>16.489724972529999</v>
      </c>
      <c r="B10" s="3">
        <v>4.1510000000000002E-3</v>
      </c>
      <c r="C10">
        <v>5.5342884597477E-2</v>
      </c>
      <c r="D10">
        <v>300.01448485639702</v>
      </c>
      <c r="E10">
        <v>0.153</v>
      </c>
      <c r="F10">
        <v>4.1510000000000002E-3</v>
      </c>
      <c r="G10">
        <v>0.154</v>
      </c>
      <c r="I10" s="2"/>
      <c r="J10">
        <v>0.20100000000000001</v>
      </c>
      <c r="K10">
        <v>0.13472999999999999</v>
      </c>
      <c r="L10">
        <v>0.60358999999999996</v>
      </c>
      <c r="M10">
        <v>0.60460000000000003</v>
      </c>
      <c r="N10">
        <v>16.058150000000001</v>
      </c>
      <c r="O10">
        <v>9.1994100000000003</v>
      </c>
      <c r="P10">
        <v>1.92991</v>
      </c>
      <c r="Q10">
        <v>9.3996600000000008</v>
      </c>
      <c r="R10">
        <v>11.848000000000001</v>
      </c>
      <c r="S10" s="2">
        <f t="shared" si="1"/>
        <v>1.2700000000000001E-3</v>
      </c>
      <c r="T10">
        <v>0.127</v>
      </c>
      <c r="U10">
        <v>34.807899999999997</v>
      </c>
      <c r="W10">
        <v>2.0100000000000001E-3</v>
      </c>
      <c r="X10">
        <f>A6+(W10-B6)*(A7-A6)/(B7-B6)</f>
        <v>14.488146256522104</v>
      </c>
      <c r="Y10">
        <f t="shared" si="2"/>
        <v>9.1994100000000003</v>
      </c>
      <c r="Z10" s="4">
        <f>C6+(W10-B6)*(C7-C6)/(B7-B6)</f>
        <v>3.0159340085983664E-2</v>
      </c>
      <c r="AA10">
        <f t="shared" si="3"/>
        <v>1.92991</v>
      </c>
      <c r="AB10">
        <f>D6+(W10-B6)*(D7-D6)/(B7-B6)</f>
        <v>300.55393774842503</v>
      </c>
      <c r="AC10">
        <f t="shared" si="4"/>
        <v>306.97041739130435</v>
      </c>
      <c r="AE10" s="2">
        <v>-2</v>
      </c>
      <c r="AF10">
        <v>8.0030000000000004E-2</v>
      </c>
      <c r="AG10" s="5">
        <v>-0.25292399999999898</v>
      </c>
      <c r="AH10">
        <v>-0.19055654646366299</v>
      </c>
      <c r="AI10">
        <f t="shared" si="0"/>
        <v>-0.02</v>
      </c>
      <c r="AJ10" s="9">
        <f>AH48+(AI10-AG48)*(AH49-AH48)/(AG49-AG48)</f>
        <v>6.1585945980474337E-2</v>
      </c>
      <c r="AK10" s="9">
        <v>8.0030000000000004E-2</v>
      </c>
    </row>
    <row r="11" spans="1:37">
      <c r="A11" s="3">
        <v>16.489724972529999</v>
      </c>
      <c r="B11" s="3">
        <v>4.744E-3</v>
      </c>
      <c r="C11">
        <v>5.5342884597477E-2</v>
      </c>
      <c r="D11">
        <v>300.01448485639702</v>
      </c>
      <c r="E11">
        <v>0.153</v>
      </c>
      <c r="F11">
        <v>4.744E-3</v>
      </c>
      <c r="G11">
        <v>0.154</v>
      </c>
      <c r="I11" s="2"/>
      <c r="J11">
        <v>0.247</v>
      </c>
      <c r="K11">
        <v>0.13472999999999999</v>
      </c>
      <c r="L11">
        <v>0.60358999999999996</v>
      </c>
      <c r="M11">
        <v>0.60460000000000003</v>
      </c>
      <c r="N11">
        <v>16.057860000000002</v>
      </c>
      <c r="O11">
        <v>9.5120199999999997</v>
      </c>
      <c r="P11">
        <v>1.9296199999999999</v>
      </c>
      <c r="Q11">
        <v>9.7057599999999997</v>
      </c>
      <c r="R11">
        <v>11.467000000000001</v>
      </c>
      <c r="S11" s="2">
        <f t="shared" si="1"/>
        <v>1.57E-3</v>
      </c>
      <c r="T11">
        <v>0.157</v>
      </c>
      <c r="U11">
        <v>34.442700000000002</v>
      </c>
      <c r="W11">
        <v>2.47E-3</v>
      </c>
      <c r="X11">
        <f>A7+(W11-B7)*(A8-A7)/(B8-B7)</f>
        <v>15.6232008636277</v>
      </c>
      <c r="Y11">
        <f t="shared" si="2"/>
        <v>9.5120199999999997</v>
      </c>
      <c r="Z11" s="4">
        <f>C7+(W11-B7)*(C8-C7)/(B8-B7)</f>
        <v>4.2823041776647801E-2</v>
      </c>
      <c r="AA11">
        <f t="shared" si="3"/>
        <v>1.9296199999999999</v>
      </c>
      <c r="AB11">
        <f>D7+(W11-B7)*(D8-D7)/(B8-B7)</f>
        <v>300.18702560082102</v>
      </c>
      <c r="AC11">
        <f t="shared" si="4"/>
        <v>306.47856842105261</v>
      </c>
      <c r="AE11" s="2">
        <v>-1</v>
      </c>
      <c r="AF11">
        <v>8.1500000000000003E-2</v>
      </c>
      <c r="AG11" s="5">
        <v>-0.24690199999999901</v>
      </c>
      <c r="AH11">
        <v>-0.163121418359648</v>
      </c>
      <c r="AI11">
        <f t="shared" si="0"/>
        <v>-0.01</v>
      </c>
      <c r="AJ11" s="9">
        <f>AH50+(AI11-AG50)*(AH51-AH50)/(AG51-AG50)</f>
        <v>6.2481309835352002E-2</v>
      </c>
      <c r="AK11" s="9">
        <v>8.1500000000000003E-2</v>
      </c>
    </row>
    <row r="12" spans="1:37">
      <c r="A12" s="3">
        <v>16.489724972529999</v>
      </c>
      <c r="B12" s="3">
        <v>5.3369999999999902E-3</v>
      </c>
      <c r="C12">
        <v>5.5342884597477E-2</v>
      </c>
      <c r="D12">
        <v>300.01448485639702</v>
      </c>
      <c r="E12">
        <v>0.153</v>
      </c>
      <c r="F12">
        <v>5.3369999999999902E-3</v>
      </c>
      <c r="G12">
        <v>0.154</v>
      </c>
      <c r="I12" s="2"/>
      <c r="J12">
        <v>0.28899999999999998</v>
      </c>
      <c r="K12">
        <v>0.13472999999999999</v>
      </c>
      <c r="L12">
        <v>0.60358999999999996</v>
      </c>
      <c r="M12">
        <v>0.60460000000000003</v>
      </c>
      <c r="N12">
        <v>16.060829999999999</v>
      </c>
      <c r="O12">
        <v>9.8338300000000007</v>
      </c>
      <c r="P12">
        <v>1.91371</v>
      </c>
      <c r="Q12">
        <v>10.01831</v>
      </c>
      <c r="R12">
        <v>11.012</v>
      </c>
      <c r="S12" s="2">
        <f t="shared" si="1"/>
        <v>1.9500000000000001E-3</v>
      </c>
      <c r="T12">
        <v>0.19500000000000001</v>
      </c>
      <c r="U12">
        <v>34.0381</v>
      </c>
      <c r="W12">
        <v>2.8899999999999998E-3</v>
      </c>
      <c r="X12">
        <f>A7+(W12-B7)*(A8-A7)/(B8-B7)</f>
        <v>15.6232008636277</v>
      </c>
      <c r="Y12">
        <f t="shared" si="2"/>
        <v>9.8338300000000007</v>
      </c>
      <c r="Z12" s="4">
        <f>C7+(W12-B7)*(C8-C7)/(B8-B7)</f>
        <v>4.2823041776647801E-2</v>
      </c>
      <c r="AA12">
        <f t="shared" si="3"/>
        <v>1.91371</v>
      </c>
      <c r="AB12">
        <f>D7+(W12-B7)*(D8-D7)/(B8-B7)</f>
        <v>300.18702560082102</v>
      </c>
      <c r="AC12">
        <f t="shared" ref="AC12:AC17" si="5">(U13+(W12-S13)*(U14-U13)/(S14-S13))+273</f>
        <v>306.19414736842106</v>
      </c>
      <c r="AE12" s="2">
        <v>0</v>
      </c>
      <c r="AF12">
        <v>8.2199999999999995E-2</v>
      </c>
      <c r="AG12" s="5">
        <v>-0.24087999999999901</v>
      </c>
      <c r="AH12">
        <v>-0.163121418359648</v>
      </c>
      <c r="AI12">
        <f t="shared" si="0"/>
        <v>0</v>
      </c>
      <c r="AJ12" s="9">
        <f>AH52</f>
        <v>6.2481309835352002E-2</v>
      </c>
      <c r="AK12" s="9">
        <v>8.2199999999999995E-2</v>
      </c>
    </row>
    <row r="13" spans="1:37">
      <c r="A13" s="3">
        <v>16.595990755310599</v>
      </c>
      <c r="B13" s="3">
        <v>5.9300000000000004E-3</v>
      </c>
      <c r="C13">
        <v>5.5360725648482198E-2</v>
      </c>
      <c r="D13">
        <v>299.99691728505798</v>
      </c>
      <c r="E13">
        <v>0.153</v>
      </c>
      <c r="F13">
        <v>5.9300000000000004E-3</v>
      </c>
      <c r="G13">
        <v>0.154</v>
      </c>
      <c r="I13" s="2"/>
      <c r="J13">
        <v>0.35899999999999999</v>
      </c>
      <c r="K13">
        <v>0.13472999999999999</v>
      </c>
      <c r="L13">
        <v>0.60358999999999996</v>
      </c>
      <c r="M13">
        <v>0.60460000000000003</v>
      </c>
      <c r="N13">
        <v>16.059550000000002</v>
      </c>
      <c r="O13">
        <v>10.271929999999999</v>
      </c>
      <c r="P13">
        <v>1.9131</v>
      </c>
      <c r="Q13">
        <v>10.448560000000001</v>
      </c>
      <c r="R13">
        <v>10.55</v>
      </c>
      <c r="S13" s="2">
        <f t="shared" si="1"/>
        <v>2.4099999999999998E-3</v>
      </c>
      <c r="T13">
        <v>0.24099999999999999</v>
      </c>
      <c r="U13">
        <v>33.519199999999998</v>
      </c>
      <c r="W13">
        <v>3.5899999999999999E-3</v>
      </c>
      <c r="X13">
        <f>A9+(W13-B9)*(A10-A9)/(B10-B9)</f>
        <v>15.669961017902359</v>
      </c>
      <c r="Y13">
        <f t="shared" si="2"/>
        <v>10.271929999999999</v>
      </c>
      <c r="Z13" s="4">
        <f>C9+(W13-B9)*(C10-C9)/(B10-B9)</f>
        <v>4.3498648809137737E-2</v>
      </c>
      <c r="AA13">
        <f t="shared" si="3"/>
        <v>1.9131</v>
      </c>
      <c r="AB13">
        <f>D9+(W13-B9)*(D10-D9)/(B10-B9)</f>
        <v>300.17771480179647</v>
      </c>
      <c r="AC13">
        <f t="shared" si="5"/>
        <v>305.81728873239439</v>
      </c>
      <c r="AE13" s="2">
        <v>1</v>
      </c>
      <c r="AF13">
        <v>8.1799999999999998E-2</v>
      </c>
      <c r="AG13" s="5">
        <v>-0.23485799999999901</v>
      </c>
      <c r="AH13">
        <v>-0.13914753235816499</v>
      </c>
      <c r="AI13">
        <f t="shared" si="0"/>
        <v>0.01</v>
      </c>
      <c r="AJ13" s="9">
        <f>AH53+(AI13-AG53)*(AH54-AH53)/(AG54-AG53)</f>
        <v>6.7825096256199202E-2</v>
      </c>
      <c r="AK13" s="9">
        <v>8.1799999999999998E-2</v>
      </c>
    </row>
    <row r="14" spans="1:37">
      <c r="A14" s="3">
        <v>16.595990755310599</v>
      </c>
      <c r="B14" s="3">
        <v>6.5230000000000002E-3</v>
      </c>
      <c r="C14">
        <v>5.5360725648482198E-2</v>
      </c>
      <c r="D14">
        <v>299.99691728505798</v>
      </c>
      <c r="E14">
        <v>0.153</v>
      </c>
      <c r="F14">
        <v>6.5230000000000002E-3</v>
      </c>
      <c r="G14">
        <v>0.154</v>
      </c>
      <c r="I14" s="2"/>
      <c r="J14">
        <v>0.44700000000000001</v>
      </c>
      <c r="K14">
        <v>0.13472999999999999</v>
      </c>
      <c r="L14">
        <v>0.60358999999999996</v>
      </c>
      <c r="M14">
        <v>0.60460000000000003</v>
      </c>
      <c r="N14">
        <v>16.063949999999998</v>
      </c>
      <c r="O14">
        <v>10.685510000000001</v>
      </c>
      <c r="P14">
        <v>1.8894</v>
      </c>
      <c r="Q14">
        <v>10.85127</v>
      </c>
      <c r="R14">
        <v>10.026999999999999</v>
      </c>
      <c r="S14" s="2">
        <f t="shared" si="1"/>
        <v>2.98E-3</v>
      </c>
      <c r="T14">
        <v>0.29799999999999999</v>
      </c>
      <c r="U14">
        <v>33.133200000000002</v>
      </c>
      <c r="W14">
        <v>4.47E-3</v>
      </c>
      <c r="X14">
        <f>A10+(W14-B10)*(A11-A10)/(B11-B10)</f>
        <v>16.489724972529999</v>
      </c>
      <c r="Y14">
        <f t="shared" si="2"/>
        <v>10.685510000000001</v>
      </c>
      <c r="Z14" s="4">
        <f>C10+(W14-B10)*(C11-C10)/(B11-B10)</f>
        <v>5.5342884597477E-2</v>
      </c>
      <c r="AA14">
        <f t="shared" si="3"/>
        <v>1.8894</v>
      </c>
      <c r="AB14">
        <f>D10+(W14-B10)*(D11-D10)/(B11-B10)</f>
        <v>300.01448485639702</v>
      </c>
      <c r="AC14">
        <f t="shared" si="5"/>
        <v>305.35210000000001</v>
      </c>
      <c r="AE14" s="2">
        <v>2</v>
      </c>
      <c r="AF14">
        <v>8.0920000000000006E-2</v>
      </c>
      <c r="AG14" s="5">
        <v>-0.22883599999999901</v>
      </c>
      <c r="AH14">
        <v>-0.13914753235816499</v>
      </c>
      <c r="AI14">
        <f t="shared" si="0"/>
        <v>0.02</v>
      </c>
      <c r="AJ14" s="9">
        <f>AH55+(AI13-AG55)*(AH56-AH55)/(AG56-AG55)</f>
        <v>7.9011725985393438E-2</v>
      </c>
      <c r="AK14" s="9">
        <v>8.0920000000000006E-2</v>
      </c>
    </row>
    <row r="15" spans="1:37">
      <c r="A15" s="3">
        <v>16.595990755310599</v>
      </c>
      <c r="B15" s="3">
        <v>7.1159999999999904E-3</v>
      </c>
      <c r="C15">
        <v>5.5360725648482198E-2</v>
      </c>
      <c r="D15">
        <v>299.99691728505798</v>
      </c>
      <c r="E15">
        <v>0.153</v>
      </c>
      <c r="F15">
        <v>7.1159999999999904E-3</v>
      </c>
      <c r="G15">
        <v>0.154</v>
      </c>
      <c r="I15" s="2"/>
      <c r="J15">
        <v>0.55500000000000005</v>
      </c>
      <c r="K15">
        <v>0.13472999999999999</v>
      </c>
      <c r="L15">
        <v>0.60358999999999996</v>
      </c>
      <c r="M15">
        <v>0.60460000000000003</v>
      </c>
      <c r="N15">
        <v>16.060739999999999</v>
      </c>
      <c r="O15">
        <v>11.12426</v>
      </c>
      <c r="P15">
        <v>1.8388</v>
      </c>
      <c r="Q15">
        <v>11.27521</v>
      </c>
      <c r="R15">
        <v>9.3859999999999992</v>
      </c>
      <c r="S15" s="2">
        <f t="shared" si="1"/>
        <v>3.6900000000000001E-3</v>
      </c>
      <c r="T15">
        <v>0.36899999999999999</v>
      </c>
      <c r="U15">
        <v>32.765500000000003</v>
      </c>
      <c r="W15">
        <v>5.5500000000000002E-3</v>
      </c>
      <c r="X15">
        <f>A12+(W15-B12)*(A13-A12)/(B13-B12)</f>
        <v>16.527894638183064</v>
      </c>
      <c r="Y15">
        <f t="shared" si="2"/>
        <v>11.12426</v>
      </c>
      <c r="Z15" s="4">
        <f>C12+(W15-B12)*(C13-C12)/(B13-B12)</f>
        <v>5.5349292934515966E-2</v>
      </c>
      <c r="AA15">
        <f t="shared" si="3"/>
        <v>1.8388</v>
      </c>
      <c r="AB15">
        <f>D12+(W15-B12)*(D13-D12)/(B13-B12)</f>
        <v>300.00817475067151</v>
      </c>
      <c r="AC15">
        <f t="shared" si="5"/>
        <v>304.88621666666666</v>
      </c>
      <c r="AE15" s="2">
        <v>3</v>
      </c>
      <c r="AF15">
        <v>7.9850000000000004E-2</v>
      </c>
      <c r="AG15" s="5">
        <v>-0.22281399999999901</v>
      </c>
      <c r="AH15">
        <v>-0.138218549197093</v>
      </c>
      <c r="AI15">
        <f t="shared" si="0"/>
        <v>0.03</v>
      </c>
      <c r="AJ15" s="9">
        <f>AH57</f>
        <v>5.9473263349032503E-2</v>
      </c>
      <c r="AK15" s="9">
        <v>7.9850000000000004E-2</v>
      </c>
    </row>
    <row r="16" spans="1:37">
      <c r="A16">
        <v>16.5531618887204</v>
      </c>
      <c r="B16">
        <v>7.7089999999999902E-3</v>
      </c>
      <c r="C16">
        <v>5.4091175598211E-2</v>
      </c>
      <c r="D16">
        <v>299.996918108839</v>
      </c>
      <c r="E16">
        <v>0.153</v>
      </c>
      <c r="F16">
        <v>7.7089999999999902E-3</v>
      </c>
      <c r="G16">
        <v>0.154</v>
      </c>
      <c r="I16" s="2"/>
      <c r="J16">
        <v>0.69099999999999995</v>
      </c>
      <c r="K16">
        <v>0.13472999999999999</v>
      </c>
      <c r="L16">
        <v>0.60358999999999996</v>
      </c>
      <c r="M16">
        <v>0.60460000000000003</v>
      </c>
      <c r="N16">
        <v>16.057110000000002</v>
      </c>
      <c r="O16">
        <v>11.57634</v>
      </c>
      <c r="P16">
        <v>1.7895099999999999</v>
      </c>
      <c r="Q16">
        <v>11.71383</v>
      </c>
      <c r="R16">
        <v>8.7870000000000008</v>
      </c>
      <c r="S16" s="2">
        <f t="shared" si="1"/>
        <v>4.5599999999999998E-3</v>
      </c>
      <c r="T16">
        <v>0.45600000000000002</v>
      </c>
      <c r="U16">
        <v>32.304400000000001</v>
      </c>
      <c r="W16">
        <v>6.9099999999999995E-3</v>
      </c>
      <c r="X16">
        <f>A14+(W16-B14)*(A15-A14)/(B15-B14)</f>
        <v>16.595990755310599</v>
      </c>
      <c r="Y16">
        <f t="shared" si="2"/>
        <v>11.57634</v>
      </c>
      <c r="Z16" s="4">
        <f>C14+(W16-B14)*(C15-C14)/(B15-B14)</f>
        <v>5.5360725648482198E-2</v>
      </c>
      <c r="AA16">
        <f t="shared" si="3"/>
        <v>1.7895099999999999</v>
      </c>
      <c r="AB16">
        <f>D14+(W16-B14)*(D15-D14)/(B15-B14)</f>
        <v>299.99691728505798</v>
      </c>
      <c r="AC16">
        <f t="shared" si="5"/>
        <v>304.49051492537313</v>
      </c>
      <c r="AE16" s="2">
        <v>4</v>
      </c>
      <c r="AF16">
        <v>7.7649999999999997E-2</v>
      </c>
      <c r="AG16" s="5">
        <v>-0.21679199999999901</v>
      </c>
      <c r="AH16">
        <v>-0.105750947052626</v>
      </c>
      <c r="AI16">
        <f t="shared" si="0"/>
        <v>0.04</v>
      </c>
      <c r="AJ16" s="9">
        <f>AH58+(AI16-AG58)*(AH59-AH58)/(AG59-AG58)</f>
        <v>5.671192866841758E-2</v>
      </c>
      <c r="AK16" s="9">
        <v>7.7649999999999997E-2</v>
      </c>
    </row>
    <row r="17" spans="1:37">
      <c r="A17" s="3">
        <v>16.5531618887204</v>
      </c>
      <c r="B17" s="3">
        <v>8.3020000000000004E-3</v>
      </c>
      <c r="C17">
        <v>5.4091175598211E-2</v>
      </c>
      <c r="D17">
        <v>299.996918108839</v>
      </c>
      <c r="E17">
        <v>0.153</v>
      </c>
      <c r="F17">
        <v>8.3020000000000004E-3</v>
      </c>
      <c r="G17">
        <v>0.154</v>
      </c>
      <c r="I17" s="2"/>
      <c r="J17">
        <v>0.85899999999999999</v>
      </c>
      <c r="K17">
        <v>0.13472999999999999</v>
      </c>
      <c r="L17">
        <v>0.60358999999999996</v>
      </c>
      <c r="M17">
        <v>0.60460000000000003</v>
      </c>
      <c r="N17">
        <v>16.059850000000001</v>
      </c>
      <c r="O17">
        <v>12.071730000000001</v>
      </c>
      <c r="P17">
        <v>1.7411300000000001</v>
      </c>
      <c r="Q17">
        <v>12.19665</v>
      </c>
      <c r="R17">
        <v>8.2070000000000007</v>
      </c>
      <c r="S17" s="2">
        <f t="shared" si="1"/>
        <v>5.6399999999999992E-3</v>
      </c>
      <c r="T17">
        <v>0.56399999999999995</v>
      </c>
      <c r="U17">
        <v>31.848199999999999</v>
      </c>
      <c r="W17">
        <v>8.5900000000000004E-3</v>
      </c>
      <c r="X17">
        <f>A17+(W17-B17)*(A18-A17)/(B18-B17)</f>
        <v>16.5531618887204</v>
      </c>
      <c r="Y17">
        <f t="shared" si="2"/>
        <v>12.071730000000001</v>
      </c>
      <c r="Z17" s="4">
        <f>C17+(W17-B17)*(C18-C17)/(B18-B17)</f>
        <v>5.4091175598211E-2</v>
      </c>
      <c r="AA17">
        <f t="shared" si="3"/>
        <v>1.7411300000000001</v>
      </c>
      <c r="AB17">
        <f>D17+(W17-B17)*(D18-D17)/(B18-B17)</f>
        <v>299.996918108839</v>
      </c>
      <c r="AC17">
        <f t="shared" si="5"/>
        <v>304.07366666666667</v>
      </c>
      <c r="AE17" s="2">
        <v>5</v>
      </c>
      <c r="AF17">
        <v>7.467E-2</v>
      </c>
      <c r="AG17" s="5">
        <v>-0.21076999999999901</v>
      </c>
      <c r="AH17">
        <v>-0.105750947052626</v>
      </c>
      <c r="AI17">
        <f t="shared" si="0"/>
        <v>0.05</v>
      </c>
      <c r="AJ17" s="9">
        <f>AH60+(AI17-AG60)*(AH61-AH60)/(AG61-AG60)</f>
        <v>5.1290609061106301E-2</v>
      </c>
      <c r="AK17" s="9">
        <v>7.467E-2</v>
      </c>
    </row>
    <row r="18" spans="1:37">
      <c r="A18" s="3">
        <v>16.5531618887204</v>
      </c>
      <c r="B18" s="3">
        <v>8.8950000000000001E-3</v>
      </c>
      <c r="C18">
        <v>5.4091175598211E-2</v>
      </c>
      <c r="D18">
        <v>299.996918108839</v>
      </c>
      <c r="E18">
        <v>0.153</v>
      </c>
      <c r="F18">
        <v>8.8950000000000001E-3</v>
      </c>
      <c r="G18">
        <v>0.154</v>
      </c>
      <c r="I18" s="2"/>
      <c r="J18">
        <v>1.0680000000000001</v>
      </c>
      <c r="K18">
        <v>0.13472999999999999</v>
      </c>
      <c r="L18">
        <v>0.60358999999999996</v>
      </c>
      <c r="M18">
        <v>0.60460000000000003</v>
      </c>
      <c r="N18">
        <v>16.06269</v>
      </c>
      <c r="O18">
        <v>12.59051</v>
      </c>
      <c r="P18">
        <v>1.68469</v>
      </c>
      <c r="Q18">
        <v>12.702719999999999</v>
      </c>
      <c r="R18">
        <v>7.6210000000000004</v>
      </c>
      <c r="S18" s="2">
        <f t="shared" si="1"/>
        <v>6.9799999999999992E-3</v>
      </c>
      <c r="T18">
        <v>0.69799999999999995</v>
      </c>
      <c r="U18">
        <v>31.470800000000001</v>
      </c>
      <c r="W18">
        <v>1.068E-2</v>
      </c>
      <c r="X18">
        <f>A21+(W18-B21)*(A22-A21)/(B22-B21)</f>
        <v>16.525799875083344</v>
      </c>
      <c r="Y18">
        <f t="shared" si="2"/>
        <v>12.59051</v>
      </c>
      <c r="Z18" s="4">
        <f>C21+(W18-B21)*(C22-C21)/(B22-B21)</f>
        <v>5.2160395725679064E-2</v>
      </c>
      <c r="AA18">
        <f t="shared" si="3"/>
        <v>1.68469</v>
      </c>
      <c r="AB18">
        <f>D21+(W18-B21)*(D22-D21)/(B22-B21)</f>
        <v>299.99735246129012</v>
      </c>
      <c r="AC18">
        <f>U20+273</f>
        <v>303.65309999999999</v>
      </c>
      <c r="AE18" s="2">
        <v>6</v>
      </c>
      <c r="AF18">
        <v>7.0989999999999998E-2</v>
      </c>
      <c r="AG18" s="5">
        <v>-0.20474799999999899</v>
      </c>
      <c r="AH18">
        <v>-0.105750947052626</v>
      </c>
      <c r="AI18">
        <f t="shared" si="0"/>
        <v>0.06</v>
      </c>
      <c r="AJ18" s="9">
        <f>AH62</f>
        <v>5.1290609061106301E-2</v>
      </c>
      <c r="AK18" s="9">
        <v>7.0989999999999998E-2</v>
      </c>
    </row>
    <row r="19" spans="1:37">
      <c r="A19">
        <v>16.5531618887204</v>
      </c>
      <c r="B19">
        <v>9.4879999999999895E-3</v>
      </c>
      <c r="C19">
        <v>5.4091175598211E-2</v>
      </c>
      <c r="D19">
        <v>299.996918108839</v>
      </c>
      <c r="E19">
        <v>0.153</v>
      </c>
      <c r="F19">
        <v>9.4879999999999895E-3</v>
      </c>
      <c r="G19">
        <v>0.154</v>
      </c>
      <c r="I19" s="2"/>
      <c r="J19">
        <v>1.3280000000000001</v>
      </c>
      <c r="K19">
        <v>0.13472999999999999</v>
      </c>
      <c r="L19">
        <v>0.60358999999999996</v>
      </c>
      <c r="M19">
        <v>0.60460000000000003</v>
      </c>
      <c r="N19">
        <v>16.060659999999999</v>
      </c>
      <c r="O19">
        <v>13.18648</v>
      </c>
      <c r="P19">
        <v>1.62018</v>
      </c>
      <c r="Q19">
        <v>13.285640000000001</v>
      </c>
      <c r="R19">
        <v>7.0049999999999999</v>
      </c>
      <c r="S19" s="2">
        <f t="shared" si="1"/>
        <v>8.6300000000000005E-3</v>
      </c>
      <c r="T19">
        <v>0.86299999999999999</v>
      </c>
      <c r="U19">
        <v>31.063800000000001</v>
      </c>
      <c r="W19">
        <v>1.328E-2</v>
      </c>
      <c r="X19">
        <f>A25+(W19-B25)*(A26-A25)/(B26-B25)</f>
        <v>16.493980262774983</v>
      </c>
      <c r="Y19">
        <f t="shared" si="2"/>
        <v>13.18648</v>
      </c>
      <c r="Z19" s="4">
        <f>C25+(W19-B25)*(C26-C25)/(B26-B25)</f>
        <v>4.7729898097909333E-2</v>
      </c>
      <c r="AA19">
        <f t="shared" si="3"/>
        <v>1.62018</v>
      </c>
      <c r="AB19">
        <f>D25+(W19-B25)*(D26-D25)/(B26-B25)</f>
        <v>299.99794407840528</v>
      </c>
      <c r="AC19">
        <f>(U21+(W19-S21)*(U22-U21)/(S22-S21))+273</f>
        <v>303.14051625344354</v>
      </c>
      <c r="AE19" s="2">
        <v>7</v>
      </c>
      <c r="AF19">
        <v>6.6409999999999997E-2</v>
      </c>
      <c r="AG19" s="5">
        <v>-0.19872599999999899</v>
      </c>
      <c r="AH19">
        <v>-8.75336533682778E-2</v>
      </c>
      <c r="AI19">
        <f t="shared" si="0"/>
        <v>7.0000000000000007E-2</v>
      </c>
      <c r="AJ19" s="9">
        <f>AH63+(AI19-AG63)*(AH64-AH63)/(AG64-AG63)</f>
        <v>4.5668833723542843E-2</v>
      </c>
      <c r="AK19" s="9">
        <v>6.6409999999999997E-2</v>
      </c>
    </row>
    <row r="20" spans="1:37">
      <c r="A20">
        <v>16.525993207606099</v>
      </c>
      <c r="B20">
        <v>1.0081E-2</v>
      </c>
      <c r="C20">
        <v>5.2181288260511903E-2</v>
      </c>
      <c r="D20">
        <v>299.99734831344898</v>
      </c>
      <c r="E20">
        <v>0.153</v>
      </c>
      <c r="F20">
        <v>1.0081E-2</v>
      </c>
      <c r="G20">
        <v>0.154</v>
      </c>
      <c r="I20" s="2"/>
      <c r="J20">
        <v>1.651</v>
      </c>
      <c r="K20">
        <v>0.13472999999999999</v>
      </c>
      <c r="L20">
        <v>0.60358999999999996</v>
      </c>
      <c r="M20">
        <v>0.60460000000000003</v>
      </c>
      <c r="N20">
        <v>16.063739999999999</v>
      </c>
      <c r="O20">
        <v>13.80655</v>
      </c>
      <c r="P20">
        <v>1.5459499999999999</v>
      </c>
      <c r="Q20">
        <v>13.89283</v>
      </c>
      <c r="R20">
        <v>6.3890000000000002</v>
      </c>
      <c r="S20" s="2">
        <f t="shared" si="1"/>
        <v>1.068E-2</v>
      </c>
      <c r="T20">
        <v>1.0680000000000001</v>
      </c>
      <c r="U20">
        <v>30.653099999999998</v>
      </c>
      <c r="W20">
        <v>1.651E-2</v>
      </c>
      <c r="X20" s="4">
        <f>A30+(W20-B30)*(A31-A30)/(B31-B30)</f>
        <v>16.4741811869951</v>
      </c>
      <c r="Y20">
        <f t="shared" si="2"/>
        <v>13.80655</v>
      </c>
      <c r="Z20" s="4">
        <f>C30+(W20-B30)*(C31-C30)/(B31-B30)</f>
        <v>4.4068541012894598E-2</v>
      </c>
      <c r="AA20">
        <f t="shared" si="3"/>
        <v>1.5459499999999999</v>
      </c>
      <c r="AB20">
        <f>D30+(W20-B30)*(D31-D30)/(B31-B30)</f>
        <v>299.998229161214</v>
      </c>
      <c r="AC20">
        <f>(U21+(W20-S21)*(U23-U21)/(S23-S21))+273</f>
        <v>302.72305999999998</v>
      </c>
      <c r="AE20" s="2">
        <v>8</v>
      </c>
      <c r="AF20">
        <v>6.114E-2</v>
      </c>
      <c r="AG20" s="5">
        <v>-0.19270399999999899</v>
      </c>
      <c r="AH20">
        <v>-8.75336533682778E-2</v>
      </c>
      <c r="AI20">
        <f t="shared" si="0"/>
        <v>0.08</v>
      </c>
      <c r="AJ20" s="9">
        <f>AH65+(AI20-AG65)*(AH66-AH65)/(AG66-AG65)</f>
        <v>3.8170511767356197E-2</v>
      </c>
      <c r="AK20" s="9">
        <v>6.114E-2</v>
      </c>
    </row>
    <row r="21" spans="1:37">
      <c r="A21" s="3">
        <v>16.525993207606099</v>
      </c>
      <c r="B21" s="3">
        <v>1.0673999999999901E-2</v>
      </c>
      <c r="C21">
        <v>5.2181288260511903E-2</v>
      </c>
      <c r="D21">
        <v>299.99734831344898</v>
      </c>
      <c r="E21">
        <v>0.153</v>
      </c>
      <c r="F21">
        <v>1.0673999999999901E-2</v>
      </c>
      <c r="G21">
        <v>0.154</v>
      </c>
      <c r="I21" s="2"/>
      <c r="J21">
        <v>2.0529999999999999</v>
      </c>
      <c r="K21">
        <v>0.13472999999999999</v>
      </c>
      <c r="L21">
        <v>0.60358999999999996</v>
      </c>
      <c r="M21">
        <v>0.60460000000000003</v>
      </c>
      <c r="N21">
        <v>16.0579</v>
      </c>
      <c r="O21">
        <v>14.506830000000001</v>
      </c>
      <c r="P21">
        <v>1.4796</v>
      </c>
      <c r="Q21">
        <v>14.582090000000001</v>
      </c>
      <c r="R21">
        <v>5.8239999999999998</v>
      </c>
      <c r="S21" s="2">
        <f t="shared" si="1"/>
        <v>1.321E-2</v>
      </c>
      <c r="T21">
        <v>1.321</v>
      </c>
      <c r="U21">
        <v>30.151399999999999</v>
      </c>
      <c r="W21">
        <v>2.053E-2</v>
      </c>
      <c r="X21" s="4">
        <f>A37+(W21-B37)*(A38-A37)/(B38-B37)</f>
        <v>16.4741811869951</v>
      </c>
      <c r="Y21">
        <f t="shared" si="2"/>
        <v>14.506830000000001</v>
      </c>
      <c r="Z21" s="4">
        <f>C37+(W21-B37)*(C38-C37)/(B38-B37)</f>
        <v>4.4068541012894598E-2</v>
      </c>
      <c r="AA21">
        <f t="shared" si="3"/>
        <v>1.4796</v>
      </c>
      <c r="AB21">
        <f>D37+(W21-B37)*(D38-D37)/(B38-B37)</f>
        <v>299.998229161214</v>
      </c>
      <c r="AC21">
        <f>(U23+(W21-S23)*(U24-U23)/(S24-S23))+273</f>
        <v>302.2099382045929</v>
      </c>
      <c r="AE21" s="2">
        <v>9</v>
      </c>
      <c r="AF21">
        <v>5.5350000000000003E-2</v>
      </c>
      <c r="AG21" s="5">
        <v>-0.18668199999999899</v>
      </c>
      <c r="AH21">
        <v>-6.7783856464061196E-2</v>
      </c>
      <c r="AI21">
        <f t="shared" si="0"/>
        <v>0.09</v>
      </c>
      <c r="AJ21" s="9">
        <f>AH67</f>
        <v>3.3589818603206902E-2</v>
      </c>
      <c r="AK21" s="9">
        <v>5.5350000000000003E-2</v>
      </c>
    </row>
    <row r="22" spans="1:37">
      <c r="A22" s="3">
        <v>16.506885509940702</v>
      </c>
      <c r="B22" s="3">
        <v>1.12669999999999E-2</v>
      </c>
      <c r="C22">
        <v>5.01164094012337E-2</v>
      </c>
      <c r="D22">
        <v>299.997758258413</v>
      </c>
      <c r="E22">
        <v>0.153</v>
      </c>
      <c r="F22">
        <v>1.12669999999999E-2</v>
      </c>
      <c r="G22">
        <v>0.154</v>
      </c>
      <c r="I22" s="2"/>
      <c r="J22">
        <v>2.5529999999999999</v>
      </c>
      <c r="K22">
        <v>0.13472999999999999</v>
      </c>
      <c r="L22">
        <v>0.60358999999999996</v>
      </c>
      <c r="M22">
        <v>0.60460000000000003</v>
      </c>
      <c r="N22">
        <v>16.057040000000001</v>
      </c>
      <c r="O22">
        <v>15.149279999999999</v>
      </c>
      <c r="P22">
        <v>1.38706</v>
      </c>
      <c r="Q22">
        <v>15.21264</v>
      </c>
      <c r="R22">
        <v>5.2309999999999999</v>
      </c>
      <c r="S22" s="2">
        <f t="shared" si="1"/>
        <v>1.6840000000000001E-2</v>
      </c>
      <c r="T22">
        <v>1.6839999999999999</v>
      </c>
      <c r="U22">
        <v>29.587</v>
      </c>
      <c r="W22">
        <v>2.5530000000000001E-2</v>
      </c>
      <c r="X22" s="4">
        <f>A46+(W22-B46)*(A47-A46)/(B47-B46)</f>
        <v>16.487894617691001</v>
      </c>
      <c r="Y22">
        <f t="shared" si="2"/>
        <v>15.149279999999999</v>
      </c>
      <c r="Z22" s="4">
        <f>C46+(W22-B46)*(C47-C46)/(B47-B46)</f>
        <v>2.7894666011148501E-2</v>
      </c>
      <c r="AA22">
        <f t="shared" si="3"/>
        <v>1.38706</v>
      </c>
      <c r="AB22">
        <f>D46+(W22-B46)*(D47-D46)/(B47-B46)</f>
        <v>299.998053827658</v>
      </c>
      <c r="AC22">
        <f>(U24+(W22-S24)*(U25-U24)/(S25-S24))+273</f>
        <v>301.71284600000001</v>
      </c>
      <c r="AE22" s="2">
        <v>10</v>
      </c>
      <c r="AF22">
        <v>4.8959999999999997E-2</v>
      </c>
      <c r="AG22" s="5">
        <v>-0.18065999999999899</v>
      </c>
      <c r="AH22">
        <v>-6.7783856464061196E-2</v>
      </c>
      <c r="AI22">
        <f t="shared" si="0"/>
        <v>0.1</v>
      </c>
      <c r="AJ22" s="9">
        <f>AH68+(AI22-AG68)*(AH69-AH68)/(AG69-AG68)</f>
        <v>2.28230281883374E-2</v>
      </c>
      <c r="AK22" s="9">
        <v>4.8959999999999997E-2</v>
      </c>
    </row>
    <row r="23" spans="1:37">
      <c r="A23">
        <v>16.506885509940702</v>
      </c>
      <c r="B23">
        <v>1.1860000000000001E-2</v>
      </c>
      <c r="C23">
        <v>5.01164094012337E-2</v>
      </c>
      <c r="D23">
        <v>299.997758258413</v>
      </c>
      <c r="E23">
        <v>0.153</v>
      </c>
      <c r="F23">
        <v>1.1860000000000001E-2</v>
      </c>
      <c r="G23">
        <v>0.154</v>
      </c>
      <c r="I23" s="2"/>
      <c r="J23">
        <v>3.1749999999999998</v>
      </c>
      <c r="K23">
        <v>0.13472999999999999</v>
      </c>
      <c r="L23">
        <v>0.60358999999999996</v>
      </c>
      <c r="M23">
        <v>0.60460000000000003</v>
      </c>
      <c r="N23">
        <v>16.058759999999999</v>
      </c>
      <c r="O23">
        <v>15.739409999999999</v>
      </c>
      <c r="P23">
        <v>1.3078000000000001</v>
      </c>
      <c r="Q23">
        <v>15.79364</v>
      </c>
      <c r="R23">
        <v>4.75</v>
      </c>
      <c r="S23" s="2">
        <f t="shared" si="1"/>
        <v>2.0209999999999999E-2</v>
      </c>
      <c r="T23">
        <v>2.0209999999999999</v>
      </c>
      <c r="U23">
        <v>29.242799999999999</v>
      </c>
      <c r="W23">
        <v>3.175E-2</v>
      </c>
      <c r="X23" s="4">
        <f>A56+(W23-B56)*(A57-A56)/(B57-B56)</f>
        <v>16.487894617691001</v>
      </c>
      <c r="Y23">
        <f t="shared" si="2"/>
        <v>15.739409999999999</v>
      </c>
      <c r="Z23" s="4">
        <f>C56+(W23-B56)*(C57-C56)/(B57-B56)</f>
        <v>2.7894666011148501E-2</v>
      </c>
      <c r="AA23">
        <f t="shared" si="3"/>
        <v>1.3078000000000001</v>
      </c>
      <c r="AB23">
        <f>D56+(W23-B56)*(D57-D56)/(B57-B56)</f>
        <v>299.998053827658</v>
      </c>
      <c r="AC23">
        <f>(U25+(W23-S25)*(U26-U25)/(S26-S25))+273</f>
        <v>301.318715</v>
      </c>
      <c r="AE23" s="2">
        <v>11</v>
      </c>
      <c r="AF23">
        <v>4.1700000000000001E-2</v>
      </c>
      <c r="AG23" s="5">
        <v>-0.17463799999999899</v>
      </c>
      <c r="AH23">
        <v>-5.3120469987838002E-2</v>
      </c>
      <c r="AI23">
        <f t="shared" si="0"/>
        <v>0.11</v>
      </c>
      <c r="AJ23" s="9">
        <f>AH70+(AI23-AG70)*(AH71-AH70)/(AG71-AG70)</f>
        <v>1.37578765887392E-2</v>
      </c>
      <c r="AK23" s="9">
        <v>4.1700000000000001E-2</v>
      </c>
    </row>
    <row r="24" spans="1:37">
      <c r="A24">
        <v>16.506885509940702</v>
      </c>
      <c r="B24">
        <v>1.24529999999999E-2</v>
      </c>
      <c r="C24">
        <v>5.01164094012337E-2</v>
      </c>
      <c r="D24">
        <v>299.997758258413</v>
      </c>
      <c r="E24">
        <v>0.153</v>
      </c>
      <c r="F24">
        <v>1.24529999999999E-2</v>
      </c>
      <c r="G24">
        <v>0.154</v>
      </c>
      <c r="I24" s="2"/>
      <c r="J24">
        <v>3.948</v>
      </c>
      <c r="K24">
        <v>0.13472999999999999</v>
      </c>
      <c r="L24">
        <v>0.60358999999999996</v>
      </c>
      <c r="M24">
        <v>0.60460000000000003</v>
      </c>
      <c r="N24">
        <v>16.065000000000001</v>
      </c>
      <c r="O24">
        <v>15.99404</v>
      </c>
      <c r="P24">
        <v>1.2841800000000001</v>
      </c>
      <c r="Q24">
        <v>16.04551</v>
      </c>
      <c r="R24">
        <v>4.5910000000000002</v>
      </c>
      <c r="S24" s="2">
        <f t="shared" si="1"/>
        <v>2.5000000000000001E-2</v>
      </c>
      <c r="T24">
        <v>2.5</v>
      </c>
      <c r="U24">
        <v>28.750900000000001</v>
      </c>
      <c r="W24">
        <v>3.9480000000000001E-2</v>
      </c>
      <c r="X24" s="4">
        <f>A69+(W24-B69)*(A70-A69)/(B70-B69)</f>
        <v>16.487894617691001</v>
      </c>
      <c r="Y24">
        <f t="shared" si="2"/>
        <v>15.99404</v>
      </c>
      <c r="Z24" s="4">
        <f>C69+(W24-B69)*(C70-C69)/(B70-B69)</f>
        <v>2.7894666011148501E-2</v>
      </c>
      <c r="AA24">
        <f t="shared" si="3"/>
        <v>1.2841800000000001</v>
      </c>
      <c r="AB24">
        <f>D69+(W24-B69)*(D70-D69)/(B70-B69)</f>
        <v>299.998053827658</v>
      </c>
      <c r="AC24">
        <f>(U26+(W24-S26)*(U27-U26)/(S27-S26))+273</f>
        <v>301.064976</v>
      </c>
      <c r="AE24" s="2">
        <v>12</v>
      </c>
      <c r="AF24">
        <v>3.363E-2</v>
      </c>
      <c r="AG24" s="5">
        <v>-0.16861599999999899</v>
      </c>
      <c r="AH24">
        <v>-5.3120469987838002E-2</v>
      </c>
      <c r="AI24">
        <f t="shared" si="0"/>
        <v>0.12</v>
      </c>
      <c r="AJ24" s="9">
        <f>AH72</f>
        <v>1.37578765887392E-2</v>
      </c>
      <c r="AK24" s="9">
        <v>3.363E-2</v>
      </c>
    </row>
    <row r="25" spans="1:37">
      <c r="A25" s="3">
        <v>16.506885509940702</v>
      </c>
      <c r="B25" s="3">
        <v>1.3046E-2</v>
      </c>
      <c r="C25">
        <v>5.01164094012337E-2</v>
      </c>
      <c r="D25">
        <v>299.997758258413</v>
      </c>
      <c r="E25">
        <v>0.153</v>
      </c>
      <c r="F25">
        <v>1.3046E-2</v>
      </c>
      <c r="G25">
        <v>0.154</v>
      </c>
      <c r="I25" s="2"/>
      <c r="J25">
        <v>4.9089999999999998</v>
      </c>
      <c r="K25">
        <v>0.13472999999999999</v>
      </c>
      <c r="L25">
        <v>0.60358999999999996</v>
      </c>
      <c r="M25">
        <v>0.60460000000000003</v>
      </c>
      <c r="N25">
        <v>16.058499999999999</v>
      </c>
      <c r="O25">
        <v>16.015270000000001</v>
      </c>
      <c r="P25">
        <v>1.2742899999999999</v>
      </c>
      <c r="Q25">
        <v>16.06588</v>
      </c>
      <c r="R25">
        <v>4.5490000000000004</v>
      </c>
      <c r="S25" s="2">
        <f t="shared" si="1"/>
        <v>0.03</v>
      </c>
      <c r="T25">
        <v>3</v>
      </c>
      <c r="U25">
        <v>28.3919</v>
      </c>
      <c r="W25">
        <v>4.9089999999999995E-2</v>
      </c>
      <c r="X25" s="4">
        <f>A85+(W25-B85)*(A86-A85)/(B86-B85)</f>
        <v>16.453216083836001</v>
      </c>
      <c r="Y25">
        <f t="shared" si="2"/>
        <v>16.015270000000001</v>
      </c>
      <c r="Z25" s="4">
        <f>C85+(W25-B85)*(C86-C85)/(B86-B85)</f>
        <v>7.5151896097754101E-3</v>
      </c>
      <c r="AA25">
        <f t="shared" si="3"/>
        <v>1.2742899999999999</v>
      </c>
      <c r="AB25">
        <f>D85+(W25-B85)*(D86-D85)/(B86-B85)</f>
        <v>299.99854856652797</v>
      </c>
      <c r="AC25">
        <f>(U27+(W25-S27)*(U28-U27)/(S28-S27))+273</f>
        <v>301.03448350000002</v>
      </c>
      <c r="AE25" s="2">
        <v>13</v>
      </c>
      <c r="AF25">
        <v>2.52E-2</v>
      </c>
      <c r="AG25" s="5">
        <v>-0.16259399999999899</v>
      </c>
      <c r="AH25">
        <v>-3.6528459595732601E-2</v>
      </c>
      <c r="AI25">
        <f t="shared" si="0"/>
        <v>0.13</v>
      </c>
      <c r="AJ25" s="9">
        <f>AH73+(AI25-AG73)*(AH74-AH73)/(AG74-AG73)</f>
        <v>-2.6678932355576799E-3</v>
      </c>
      <c r="AK25" s="9">
        <v>2.52E-2</v>
      </c>
    </row>
    <row r="26" spans="1:37">
      <c r="A26" s="3">
        <v>16.4741811869951</v>
      </c>
      <c r="B26" s="3">
        <v>1.3639E-2</v>
      </c>
      <c r="C26">
        <v>4.4068541012894598E-2</v>
      </c>
      <c r="D26">
        <v>299.998229161214</v>
      </c>
      <c r="E26">
        <v>0.153</v>
      </c>
      <c r="F26">
        <v>1.3639E-2</v>
      </c>
      <c r="G26">
        <v>0.154</v>
      </c>
      <c r="I26" s="2"/>
      <c r="J26">
        <v>5.9089999999999998</v>
      </c>
      <c r="K26">
        <v>0.13472999999999999</v>
      </c>
      <c r="L26">
        <v>0.60358999999999996</v>
      </c>
      <c r="M26">
        <v>0.60460000000000003</v>
      </c>
      <c r="N26">
        <v>16.064319999999999</v>
      </c>
      <c r="O26">
        <v>16.019659999999998</v>
      </c>
      <c r="P26">
        <v>1.25743</v>
      </c>
      <c r="Q26">
        <v>16.068940000000001</v>
      </c>
      <c r="R26">
        <v>4.4880000000000004</v>
      </c>
      <c r="S26" s="2">
        <f t="shared" si="1"/>
        <v>3.5000000000000003E-2</v>
      </c>
      <c r="T26">
        <v>3.5</v>
      </c>
      <c r="U26">
        <v>28.1828</v>
      </c>
      <c r="W26">
        <v>5.9089999999999997E-2</v>
      </c>
      <c r="X26" s="4">
        <f>A102+(W26-B102)*(A103-A102)/(B103-B102)</f>
        <v>16.453216083836001</v>
      </c>
      <c r="Y26">
        <f t="shared" si="2"/>
        <v>16.019659999999998</v>
      </c>
      <c r="Z26" s="4">
        <f>C102+(W26-B102)*(C103-C102)/(B103-B102)</f>
        <v>7.5151896097754101E-3</v>
      </c>
      <c r="AA26">
        <f t="shared" si="3"/>
        <v>1.25743</v>
      </c>
      <c r="AE26" s="2">
        <v>14</v>
      </c>
      <c r="AF26">
        <v>1.592E-2</v>
      </c>
      <c r="AG26" s="5">
        <v>-0.15657199999999899</v>
      </c>
      <c r="AH26">
        <v>-3.6528459595732601E-2</v>
      </c>
      <c r="AI26">
        <f t="shared" si="0"/>
        <v>0.14000000000000001</v>
      </c>
      <c r="AJ26" s="9">
        <f>AH75+(AI26-AG75)*(AH76-AH75)/(AG76-AG75)</f>
        <v>-1.7146261882699701E-2</v>
      </c>
      <c r="AK26" s="9">
        <v>1.592E-2</v>
      </c>
    </row>
    <row r="27" spans="1:37">
      <c r="A27">
        <v>16.4741811869951</v>
      </c>
      <c r="B27">
        <v>1.4232E-2</v>
      </c>
      <c r="C27">
        <v>4.4068541012894598E-2</v>
      </c>
      <c r="D27">
        <v>299.998229161214</v>
      </c>
      <c r="E27">
        <v>0.153</v>
      </c>
      <c r="F27">
        <v>1.4232E-2</v>
      </c>
      <c r="G27">
        <v>0.154</v>
      </c>
      <c r="I27" s="2"/>
      <c r="J27">
        <v>5.93</v>
      </c>
      <c r="K27">
        <v>0.13472999999999999</v>
      </c>
      <c r="L27">
        <v>0.60358999999999996</v>
      </c>
      <c r="M27">
        <v>0.60460000000000003</v>
      </c>
      <c r="N27">
        <v>16.063420000000001</v>
      </c>
      <c r="O27">
        <v>16.02187</v>
      </c>
      <c r="P27">
        <v>1.25969</v>
      </c>
      <c r="Q27">
        <v>16.07131</v>
      </c>
      <c r="R27">
        <v>4.4960000000000004</v>
      </c>
      <c r="S27" s="2">
        <f t="shared" si="1"/>
        <v>0.04</v>
      </c>
      <c r="T27">
        <v>4</v>
      </c>
      <c r="U27">
        <v>28.051300000000001</v>
      </c>
      <c r="W27">
        <v>5.9299999999999999E-2</v>
      </c>
      <c r="X27">
        <f>A103</f>
        <v>16.453216083836001</v>
      </c>
      <c r="Y27">
        <f t="shared" si="2"/>
        <v>16.02187</v>
      </c>
      <c r="Z27" s="4">
        <f>C103</f>
        <v>7.5151896097754101E-3</v>
      </c>
      <c r="AA27">
        <f t="shared" si="3"/>
        <v>1.25969</v>
      </c>
      <c r="AE27" s="2">
        <v>15</v>
      </c>
      <c r="AF27">
        <v>5.6299999999999996E-3</v>
      </c>
      <c r="AG27" s="5">
        <v>-0.15054999999999899</v>
      </c>
      <c r="AH27">
        <v>-2.142152162423E-2</v>
      </c>
      <c r="AI27">
        <f t="shared" si="0"/>
        <v>0.15</v>
      </c>
      <c r="AJ27" s="9">
        <f>AH77</f>
        <v>-2.7300011823121698E-2</v>
      </c>
      <c r="AK27" s="9">
        <v>5.6299999999999996E-3</v>
      </c>
    </row>
    <row r="28" spans="1:37">
      <c r="A28">
        <v>16.4741811869951</v>
      </c>
      <c r="B28">
        <v>1.4825E-2</v>
      </c>
      <c r="C28">
        <v>4.4068541012894598E-2</v>
      </c>
      <c r="D28">
        <v>299.998229161214</v>
      </c>
      <c r="E28">
        <v>0.153</v>
      </c>
      <c r="F28">
        <v>1.4825E-2</v>
      </c>
      <c r="G28">
        <v>0.154</v>
      </c>
      <c r="I28" s="2"/>
      <c r="S28" s="2">
        <f t="shared" si="1"/>
        <v>0.05</v>
      </c>
      <c r="T28">
        <v>5</v>
      </c>
      <c r="U28">
        <v>28.032800000000002</v>
      </c>
      <c r="AE28" s="2">
        <v>16</v>
      </c>
      <c r="AF28">
        <v>-4.9699999999999996E-3</v>
      </c>
      <c r="AG28" s="5">
        <v>-0.14452799999999899</v>
      </c>
      <c r="AH28">
        <v>-2.142152162423E-2</v>
      </c>
      <c r="AI28">
        <f t="shared" si="0"/>
        <v>0.16</v>
      </c>
      <c r="AJ28" s="9">
        <f>AH78+(AI28-AG78)*(AH79-AH78)/(AG79-AG78)</f>
        <v>-3.8390769405031597E-2</v>
      </c>
      <c r="AK28" s="9">
        <v>-4.9699999999999996E-3</v>
      </c>
    </row>
    <row r="29" spans="1:37">
      <c r="A29">
        <v>16.4741811869951</v>
      </c>
      <c r="B29">
        <v>1.5417999999999901E-2</v>
      </c>
      <c r="C29">
        <v>4.4068541012894598E-2</v>
      </c>
      <c r="D29">
        <v>299.998229161214</v>
      </c>
      <c r="E29">
        <v>0.153</v>
      </c>
      <c r="F29">
        <v>1.5417999999999901E-2</v>
      </c>
      <c r="G29">
        <v>0.154</v>
      </c>
      <c r="AE29" s="2">
        <v>17</v>
      </c>
      <c r="AF29">
        <v>-1.6219999999999998E-2</v>
      </c>
      <c r="AG29" s="5">
        <v>-0.13850599999999899</v>
      </c>
      <c r="AH29">
        <v>-2.142152162423E-2</v>
      </c>
      <c r="AI29">
        <f t="shared" si="0"/>
        <v>0.17</v>
      </c>
      <c r="AJ29" s="9">
        <f>AH80+(AI29-AG80)*(AH81-AH80)/(AG81-AG80)</f>
        <v>-5.0147492958639878E-2</v>
      </c>
      <c r="AK29" s="9">
        <v>-1.6219999999999998E-2</v>
      </c>
    </row>
    <row r="30" spans="1:37">
      <c r="A30" s="3">
        <v>16.4741811869951</v>
      </c>
      <c r="B30" s="3">
        <v>1.6011000000000001E-2</v>
      </c>
      <c r="C30">
        <v>4.4068541012894598E-2</v>
      </c>
      <c r="D30">
        <v>299.998229161214</v>
      </c>
      <c r="E30">
        <v>0.153</v>
      </c>
      <c r="F30">
        <v>1.6011000000000001E-2</v>
      </c>
      <c r="G30">
        <v>0.154</v>
      </c>
      <c r="AE30" s="2">
        <v>18</v>
      </c>
      <c r="AF30">
        <v>-2.8420000000000001E-2</v>
      </c>
      <c r="AG30" s="5">
        <v>-0.13248399999999899</v>
      </c>
      <c r="AH30">
        <v>-5.9825035520927597E-3</v>
      </c>
      <c r="AI30">
        <f t="shared" si="0"/>
        <v>0.18</v>
      </c>
      <c r="AJ30" s="9">
        <f>AH82</f>
        <v>-6.1421594518216403E-2</v>
      </c>
      <c r="AK30" s="9">
        <v>-2.8420000000000001E-2</v>
      </c>
    </row>
    <row r="31" spans="1:37">
      <c r="A31" s="3">
        <v>16.4741811869951</v>
      </c>
      <c r="B31" s="3">
        <v>1.6604000000000001E-2</v>
      </c>
      <c r="C31">
        <v>4.4068541012894598E-2</v>
      </c>
      <c r="D31">
        <v>299.998229161214</v>
      </c>
      <c r="E31">
        <v>0.153</v>
      </c>
      <c r="F31">
        <v>1.6604000000000001E-2</v>
      </c>
      <c r="G31">
        <v>0.154</v>
      </c>
      <c r="AE31" s="2">
        <v>19</v>
      </c>
      <c r="AF31">
        <v>-4.0460000000000003E-2</v>
      </c>
      <c r="AG31" s="5">
        <v>-0.12646199999999899</v>
      </c>
      <c r="AH31">
        <v>-5.9825035520927597E-3</v>
      </c>
      <c r="AI31">
        <f t="shared" si="0"/>
        <v>0.19</v>
      </c>
      <c r="AJ31" s="9">
        <f>AH83+(AI31-AG83)*(AH84-AH83)/(AG84-AG83)</f>
        <v>-7.9411956381846199E-2</v>
      </c>
      <c r="AK31" s="9">
        <v>-4.0460000000000003E-2</v>
      </c>
    </row>
    <row r="32" spans="1:37">
      <c r="A32">
        <v>16.4741811869951</v>
      </c>
      <c r="B32">
        <v>1.71969999999999E-2</v>
      </c>
      <c r="C32">
        <v>4.4068541012894598E-2</v>
      </c>
      <c r="D32">
        <v>299.998229161214</v>
      </c>
      <c r="E32">
        <v>0.153</v>
      </c>
      <c r="F32">
        <v>1.71969999999999E-2</v>
      </c>
      <c r="G32">
        <v>0.154</v>
      </c>
      <c r="AE32" s="2">
        <v>20</v>
      </c>
      <c r="AF32">
        <v>-5.3650000000000003E-2</v>
      </c>
      <c r="AG32" s="5">
        <v>-0.12043999999999901</v>
      </c>
      <c r="AH32">
        <v>6.9435437314857703E-3</v>
      </c>
      <c r="AI32">
        <f t="shared" si="0"/>
        <v>0.2</v>
      </c>
      <c r="AJ32" s="9">
        <f>AH85+(AI32-AG85)*(AH86-AH85)/(AG86-AG85)</f>
        <v>-8.3241086705034897E-2</v>
      </c>
      <c r="AK32" s="9">
        <v>-5.3650000000000003E-2</v>
      </c>
    </row>
    <row r="33" spans="1:37">
      <c r="A33">
        <v>16.4741811869951</v>
      </c>
      <c r="B33">
        <v>1.779E-2</v>
      </c>
      <c r="C33">
        <v>4.4068541012894598E-2</v>
      </c>
      <c r="D33">
        <v>299.998229161214</v>
      </c>
      <c r="E33">
        <v>0.153</v>
      </c>
      <c r="F33">
        <v>1.779E-2</v>
      </c>
      <c r="G33">
        <v>0.154</v>
      </c>
      <c r="AE33" s="2">
        <v>21</v>
      </c>
      <c r="AF33">
        <v>-6.726E-2</v>
      </c>
      <c r="AG33" s="5">
        <v>-0.11441799999999901</v>
      </c>
      <c r="AH33">
        <v>6.9435437314857703E-3</v>
      </c>
      <c r="AI33">
        <f t="shared" si="0"/>
        <v>0.21</v>
      </c>
      <c r="AJ33" s="9">
        <f>AH87</f>
        <v>-9.7511660311378201E-2</v>
      </c>
      <c r="AK33" s="9">
        <v>-6.726E-2</v>
      </c>
    </row>
    <row r="34" spans="1:37">
      <c r="A34">
        <v>16.4741811869951</v>
      </c>
      <c r="B34">
        <v>1.8383E-2</v>
      </c>
      <c r="C34">
        <v>4.4068541012894598E-2</v>
      </c>
      <c r="D34">
        <v>299.998229161214</v>
      </c>
      <c r="E34">
        <v>0.153</v>
      </c>
      <c r="F34">
        <v>1.8383E-2</v>
      </c>
      <c r="G34">
        <v>0.154</v>
      </c>
      <c r="AE34" s="2">
        <v>22</v>
      </c>
      <c r="AF34">
        <v>-8.1610000000000002E-2</v>
      </c>
      <c r="AG34" s="5">
        <v>-0.10839599999999899</v>
      </c>
      <c r="AH34">
        <v>1.8752373706643299E-2</v>
      </c>
      <c r="AI34">
        <f t="shared" si="0"/>
        <v>0.22</v>
      </c>
      <c r="AJ34" s="9">
        <f>AH88+(AI34-AG88)*(AH89-AH88)/(AG89-AG88)</f>
        <v>-0.13055078324735814</v>
      </c>
      <c r="AK34" s="9">
        <v>-8.1610000000000002E-2</v>
      </c>
    </row>
    <row r="35" spans="1:37">
      <c r="A35">
        <v>16.4741811869951</v>
      </c>
      <c r="B35">
        <v>1.8976E-2</v>
      </c>
      <c r="C35">
        <v>4.4068541012894598E-2</v>
      </c>
      <c r="D35">
        <v>299.998229161214</v>
      </c>
      <c r="E35">
        <v>0.153</v>
      </c>
      <c r="F35">
        <v>1.8976E-2</v>
      </c>
      <c r="G35">
        <v>0.154</v>
      </c>
      <c r="AE35" s="2">
        <v>23</v>
      </c>
      <c r="AF35">
        <v>-9.6839999999999996E-2</v>
      </c>
      <c r="AG35" s="8">
        <v>-0.10237399999999899</v>
      </c>
      <c r="AH35">
        <v>1.8752373706643299E-2</v>
      </c>
      <c r="AI35" s="6">
        <f t="shared" si="0"/>
        <v>0.23</v>
      </c>
      <c r="AJ35" s="9">
        <f>AH90+(AI35-AG90)*(AH91-AH90)/(AG91-AG90)</f>
        <v>-0.135788282846526</v>
      </c>
      <c r="AK35" s="9">
        <v>-9.6839999999999996E-2</v>
      </c>
    </row>
    <row r="36" spans="1:37">
      <c r="A36">
        <v>16.4741811869951</v>
      </c>
      <c r="B36">
        <v>1.9569E-2</v>
      </c>
      <c r="C36">
        <v>4.4068541012894598E-2</v>
      </c>
      <c r="D36">
        <v>299.998229161214</v>
      </c>
      <c r="E36">
        <v>0.153</v>
      </c>
      <c r="F36">
        <v>1.9569E-2</v>
      </c>
      <c r="G36">
        <v>0.154</v>
      </c>
      <c r="AE36" s="2">
        <v>24</v>
      </c>
      <c r="AF36">
        <v>-0.11301</v>
      </c>
      <c r="AG36" s="8">
        <v>-9.6351999999999896E-2</v>
      </c>
      <c r="AH36">
        <v>3.0264500138022801E-2</v>
      </c>
      <c r="AI36" s="6">
        <f t="shared" si="0"/>
        <v>0.24</v>
      </c>
      <c r="AJ36" s="9">
        <f>AH92</f>
        <v>-0.15805355575437599</v>
      </c>
      <c r="AK36" s="9">
        <v>-0.11301</v>
      </c>
    </row>
    <row r="37" spans="1:37">
      <c r="A37" s="3">
        <v>16.4741811869951</v>
      </c>
      <c r="B37" s="3">
        <v>2.0161999999999899E-2</v>
      </c>
      <c r="C37">
        <v>4.4068541012894598E-2</v>
      </c>
      <c r="D37">
        <v>299.998229161214</v>
      </c>
      <c r="E37">
        <v>0.153</v>
      </c>
      <c r="F37">
        <v>2.0161999999999899E-2</v>
      </c>
      <c r="G37">
        <v>0.154</v>
      </c>
      <c r="AE37" s="2">
        <v>25</v>
      </c>
      <c r="AF37">
        <v>-0.13086</v>
      </c>
      <c r="AG37" s="5">
        <v>-9.0329999999999896E-2</v>
      </c>
      <c r="AH37">
        <v>3.0264500138022801E-2</v>
      </c>
      <c r="AI37">
        <f t="shared" si="0"/>
        <v>0.25</v>
      </c>
      <c r="AJ37" s="9">
        <f>AH93+(AI37-AG93)*(AH94-AH93)/(AG94-AG93)</f>
        <v>-0.17202718165912745</v>
      </c>
      <c r="AK37" s="9">
        <v>-0.13086</v>
      </c>
    </row>
    <row r="38" spans="1:37">
      <c r="A38" s="3">
        <v>16.4741811869951</v>
      </c>
      <c r="B38" s="3">
        <v>2.0754999999999899E-2</v>
      </c>
      <c r="C38">
        <v>4.4068541012894598E-2</v>
      </c>
      <c r="D38">
        <v>299.998229161214</v>
      </c>
      <c r="E38">
        <v>0.153</v>
      </c>
      <c r="F38">
        <v>2.0754999999999899E-2</v>
      </c>
      <c r="G38">
        <v>0.154</v>
      </c>
      <c r="AE38" s="2">
        <v>26</v>
      </c>
      <c r="AF38">
        <v>-0.14989</v>
      </c>
      <c r="AG38" s="8">
        <v>-8.4307999999999897E-2</v>
      </c>
      <c r="AH38">
        <v>3.8801669814521898E-2</v>
      </c>
      <c r="AI38">
        <f t="shared" si="0"/>
        <v>0.26</v>
      </c>
      <c r="AJ38" s="9">
        <f>AH95+(AI38-AG95)*(AH96-AH95)/(AG96-AG95)</f>
        <v>-0.19161505911052273</v>
      </c>
      <c r="AK38" s="9">
        <v>-0.14989</v>
      </c>
    </row>
    <row r="39" spans="1:37">
      <c r="A39">
        <v>16.4741811869951</v>
      </c>
      <c r="B39">
        <v>2.1347999999999898E-2</v>
      </c>
      <c r="C39">
        <v>4.4068541012894598E-2</v>
      </c>
      <c r="D39">
        <v>299.998229161214</v>
      </c>
      <c r="E39">
        <v>0.153</v>
      </c>
      <c r="F39">
        <v>2.1347999999999898E-2</v>
      </c>
      <c r="G39">
        <v>0.154</v>
      </c>
      <c r="AE39" s="2">
        <v>27</v>
      </c>
      <c r="AF39">
        <v>-0.17094000000000001</v>
      </c>
      <c r="AG39" s="8">
        <v>-7.8285999999999897E-2</v>
      </c>
      <c r="AH39">
        <v>3.8801669814521898E-2</v>
      </c>
      <c r="AI39">
        <f t="shared" si="0"/>
        <v>0.27</v>
      </c>
      <c r="AJ39" s="9">
        <f>AH97</f>
        <v>-0.22177696542834399</v>
      </c>
      <c r="AK39" s="9">
        <v>-0.17094000000000001</v>
      </c>
    </row>
    <row r="40" spans="1:37">
      <c r="A40">
        <v>16.4741811869951</v>
      </c>
      <c r="B40">
        <v>2.1940999999999902E-2</v>
      </c>
      <c r="C40">
        <v>4.4068541012894598E-2</v>
      </c>
      <c r="D40">
        <v>299.998229161214</v>
      </c>
      <c r="E40">
        <v>0.153</v>
      </c>
      <c r="F40">
        <v>2.1940999999999902E-2</v>
      </c>
      <c r="G40">
        <v>0.154</v>
      </c>
      <c r="AG40" s="8">
        <v>-7.2263999999999898E-2</v>
      </c>
      <c r="AH40">
        <v>5.1203449797415E-2</v>
      </c>
    </row>
    <row r="41" spans="1:37">
      <c r="A41">
        <v>16.4741811869951</v>
      </c>
      <c r="B41">
        <v>2.2533999999999901E-2</v>
      </c>
      <c r="C41">
        <v>4.4068541012894598E-2</v>
      </c>
      <c r="D41">
        <v>299.998229161214</v>
      </c>
      <c r="E41">
        <v>0.153</v>
      </c>
      <c r="F41">
        <v>2.2533999999999901E-2</v>
      </c>
      <c r="G41">
        <v>0.154</v>
      </c>
      <c r="AG41" s="8">
        <v>-6.6241999999999898E-2</v>
      </c>
      <c r="AH41">
        <v>4.6282532902743E-2</v>
      </c>
    </row>
    <row r="42" spans="1:37">
      <c r="A42">
        <v>16.487894617691001</v>
      </c>
      <c r="B42">
        <v>2.3127000000000002E-2</v>
      </c>
      <c r="C42">
        <v>2.7894666011148501E-2</v>
      </c>
      <c r="D42">
        <v>299.998053827658</v>
      </c>
      <c r="E42">
        <v>0.153</v>
      </c>
      <c r="F42">
        <v>2.3127000000000002E-2</v>
      </c>
      <c r="G42">
        <v>0.154</v>
      </c>
      <c r="AG42" s="5">
        <v>-6.0219999999999899E-2</v>
      </c>
      <c r="AH42">
        <v>4.6282532902743E-2</v>
      </c>
    </row>
    <row r="43" spans="1:37">
      <c r="A43">
        <v>16.487894617691001</v>
      </c>
      <c r="B43">
        <v>2.3720000000000001E-2</v>
      </c>
      <c r="C43">
        <v>2.7894666011148501E-2</v>
      </c>
      <c r="D43">
        <v>299.998053827658</v>
      </c>
      <c r="E43">
        <v>0.153</v>
      </c>
      <c r="F43">
        <v>2.3720000000000001E-2</v>
      </c>
      <c r="G43">
        <v>0.154</v>
      </c>
      <c r="AG43" s="8">
        <v>-5.4198000000000003E-2</v>
      </c>
      <c r="AH43">
        <v>5.6771085577339397E-2</v>
      </c>
    </row>
    <row r="44" spans="1:37">
      <c r="A44">
        <v>16.487894617691001</v>
      </c>
      <c r="B44">
        <v>2.4312999999999901E-2</v>
      </c>
      <c r="C44">
        <v>2.7894666011148501E-2</v>
      </c>
      <c r="D44">
        <v>299.998053827658</v>
      </c>
      <c r="E44">
        <v>0.153</v>
      </c>
      <c r="F44">
        <v>2.4312999999999901E-2</v>
      </c>
      <c r="G44">
        <v>0.154</v>
      </c>
      <c r="AG44" s="8">
        <v>-4.8175999999999899E-2</v>
      </c>
      <c r="AH44">
        <v>5.6771085577339397E-2</v>
      </c>
    </row>
    <row r="45" spans="1:37">
      <c r="A45">
        <v>16.487894617691001</v>
      </c>
      <c r="B45">
        <v>2.49059999999999E-2</v>
      </c>
      <c r="C45">
        <v>2.7894666011148501E-2</v>
      </c>
      <c r="D45">
        <v>299.998053827658</v>
      </c>
      <c r="E45">
        <v>0.153</v>
      </c>
      <c r="F45">
        <v>2.49059999999999E-2</v>
      </c>
      <c r="G45">
        <v>0.154</v>
      </c>
      <c r="AG45" s="8">
        <v>-4.2153999999999997E-2</v>
      </c>
      <c r="AH45">
        <v>5.6771085577339397E-2</v>
      </c>
    </row>
    <row r="46" spans="1:37">
      <c r="A46" s="3">
        <v>16.487894617691001</v>
      </c>
      <c r="B46" s="3">
        <v>2.54989999999999E-2</v>
      </c>
      <c r="C46">
        <v>2.7894666011148501E-2</v>
      </c>
      <c r="D46">
        <v>299.998053827658</v>
      </c>
      <c r="E46">
        <v>0.153</v>
      </c>
      <c r="F46">
        <v>2.54989999999999E-2</v>
      </c>
      <c r="G46">
        <v>0.154</v>
      </c>
      <c r="AG46" s="8">
        <v>-3.61319999999999E-2</v>
      </c>
      <c r="AH46">
        <v>5.9826116546121903E-2</v>
      </c>
    </row>
    <row r="47" spans="1:37">
      <c r="A47" s="3">
        <v>16.487894617691001</v>
      </c>
      <c r="B47" s="3">
        <v>2.6092000000000001E-2</v>
      </c>
      <c r="C47">
        <v>2.7894666011148501E-2</v>
      </c>
      <c r="D47">
        <v>299.998053827658</v>
      </c>
      <c r="E47">
        <v>0.153</v>
      </c>
      <c r="F47">
        <v>2.6092000000000001E-2</v>
      </c>
      <c r="G47">
        <v>0.154</v>
      </c>
      <c r="AG47" s="5">
        <v>-3.0109999999999901E-2</v>
      </c>
      <c r="AH47">
        <v>5.9826116546121903E-2</v>
      </c>
    </row>
    <row r="48" spans="1:37">
      <c r="A48">
        <v>16.487894617691001</v>
      </c>
      <c r="B48">
        <v>2.6685E-2</v>
      </c>
      <c r="C48">
        <v>2.7894666011148501E-2</v>
      </c>
      <c r="D48">
        <v>299.998053827658</v>
      </c>
      <c r="E48">
        <v>0.153</v>
      </c>
      <c r="F48">
        <v>2.6685E-2</v>
      </c>
      <c r="G48">
        <v>0.154</v>
      </c>
      <c r="AG48" s="8">
        <v>-2.4087999999999901E-2</v>
      </c>
      <c r="AH48">
        <v>5.9826116546121903E-2</v>
      </c>
    </row>
    <row r="49" spans="1:34">
      <c r="A49">
        <v>16.487894617691001</v>
      </c>
      <c r="B49">
        <v>2.7278E-2</v>
      </c>
      <c r="C49">
        <v>2.7894666011148501E-2</v>
      </c>
      <c r="D49">
        <v>299.998053827658</v>
      </c>
      <c r="E49">
        <v>0.153</v>
      </c>
      <c r="F49">
        <v>2.7278E-2</v>
      </c>
      <c r="G49">
        <v>0.154</v>
      </c>
      <c r="AG49" s="8">
        <v>-1.8065999999999999E-2</v>
      </c>
      <c r="AH49">
        <v>6.2418507165904302E-2</v>
      </c>
    </row>
    <row r="50" spans="1:34">
      <c r="A50">
        <v>16.487894617691001</v>
      </c>
      <c r="B50">
        <v>2.7870999999999899E-2</v>
      </c>
      <c r="C50">
        <v>2.7894666011148501E-2</v>
      </c>
      <c r="D50">
        <v>299.998053827658</v>
      </c>
      <c r="E50">
        <v>0.153</v>
      </c>
      <c r="F50">
        <v>2.7870999999999899E-2</v>
      </c>
      <c r="G50">
        <v>0.154</v>
      </c>
      <c r="AG50" s="8">
        <v>-1.20439999999999E-2</v>
      </c>
      <c r="AH50">
        <v>6.2481309835352002E-2</v>
      </c>
    </row>
    <row r="51" spans="1:34">
      <c r="A51">
        <v>16.487894617691001</v>
      </c>
      <c r="B51">
        <v>2.8464E-2</v>
      </c>
      <c r="C51">
        <v>2.7894666011148501E-2</v>
      </c>
      <c r="D51">
        <v>299.998053827658</v>
      </c>
      <c r="E51">
        <v>0.153</v>
      </c>
      <c r="F51">
        <v>2.8464E-2</v>
      </c>
      <c r="G51">
        <v>0.154</v>
      </c>
      <c r="AG51" s="8">
        <v>-6.0220000000000204E-3</v>
      </c>
      <c r="AH51">
        <v>6.2481309835352002E-2</v>
      </c>
    </row>
    <row r="52" spans="1:34">
      <c r="A52">
        <v>16.487894617691001</v>
      </c>
      <c r="B52">
        <v>2.9056999999999899E-2</v>
      </c>
      <c r="C52">
        <v>2.7894666011148501E-2</v>
      </c>
      <c r="D52">
        <v>299.998053827658</v>
      </c>
      <c r="E52">
        <v>0.153</v>
      </c>
      <c r="F52">
        <v>2.9056999999999899E-2</v>
      </c>
      <c r="G52">
        <v>0.154</v>
      </c>
      <c r="AG52" s="5">
        <v>0</v>
      </c>
      <c r="AH52">
        <v>6.2481309835352002E-2</v>
      </c>
    </row>
    <row r="53" spans="1:34">
      <c r="A53">
        <v>16.487894617691001</v>
      </c>
      <c r="B53">
        <v>2.9649999999999899E-2</v>
      </c>
      <c r="C53">
        <v>2.7894666011148501E-2</v>
      </c>
      <c r="D53">
        <v>299.998053827658</v>
      </c>
      <c r="E53">
        <v>0.153</v>
      </c>
      <c r="F53">
        <v>2.9649999999999899E-2</v>
      </c>
      <c r="G53">
        <v>0.154</v>
      </c>
      <c r="AG53" s="8">
        <v>6.0220000000000204E-3</v>
      </c>
      <c r="AH53">
        <v>6.7825096256199202E-2</v>
      </c>
    </row>
    <row r="54" spans="1:34">
      <c r="A54">
        <v>16.487894617691001</v>
      </c>
      <c r="B54">
        <v>3.0242999999999898E-2</v>
      </c>
      <c r="C54">
        <v>2.7894666011148501E-2</v>
      </c>
      <c r="D54">
        <v>299.998053827658</v>
      </c>
      <c r="E54">
        <v>0.153</v>
      </c>
      <c r="F54">
        <v>3.0242999999999898E-2</v>
      </c>
      <c r="G54">
        <v>0.154</v>
      </c>
      <c r="AG54" s="8">
        <v>1.20439999999999E-2</v>
      </c>
      <c r="AH54">
        <v>6.7825096256199202E-2</v>
      </c>
    </row>
    <row r="55" spans="1:34">
      <c r="A55">
        <v>16.487894617691001</v>
      </c>
      <c r="B55">
        <v>3.0835999999999902E-2</v>
      </c>
      <c r="C55">
        <v>2.7894666011148501E-2</v>
      </c>
      <c r="D55">
        <v>299.998053827658</v>
      </c>
      <c r="E55">
        <v>0.153</v>
      </c>
      <c r="F55">
        <v>3.0835999999999902E-2</v>
      </c>
      <c r="G55">
        <v>0.154</v>
      </c>
      <c r="AG55" s="8">
        <v>1.8065999999999999E-2</v>
      </c>
      <c r="AH55">
        <v>6.7825096256199202E-2</v>
      </c>
    </row>
    <row r="56" spans="1:34">
      <c r="A56" s="3">
        <v>16.487894617691001</v>
      </c>
      <c r="B56" s="3">
        <v>3.1428999999999901E-2</v>
      </c>
      <c r="C56">
        <v>2.7894666011148501E-2</v>
      </c>
      <c r="D56">
        <v>299.998053827658</v>
      </c>
      <c r="E56">
        <v>0.153</v>
      </c>
      <c r="F56">
        <v>3.1428999999999901E-2</v>
      </c>
      <c r="G56">
        <v>0.154</v>
      </c>
      <c r="AG56" s="8">
        <v>2.4087999999999901E-2</v>
      </c>
      <c r="AH56">
        <v>5.9473263349032503E-2</v>
      </c>
    </row>
    <row r="57" spans="1:34">
      <c r="A57" s="3">
        <v>16.487894617691001</v>
      </c>
      <c r="B57" s="3">
        <v>3.2022000000000002E-2</v>
      </c>
      <c r="C57">
        <v>2.7894666011148501E-2</v>
      </c>
      <c r="D57">
        <v>299.998053827658</v>
      </c>
      <c r="E57">
        <v>0.153</v>
      </c>
      <c r="F57">
        <v>3.2022000000000002E-2</v>
      </c>
      <c r="G57">
        <v>0.154</v>
      </c>
      <c r="AG57" s="5">
        <v>3.0110000000000001E-2</v>
      </c>
      <c r="AH57">
        <v>5.9473263349032503E-2</v>
      </c>
    </row>
    <row r="58" spans="1:34">
      <c r="A58">
        <v>16.487894617691001</v>
      </c>
      <c r="B58">
        <v>3.2614999999999998E-2</v>
      </c>
      <c r="C58">
        <v>2.7894666011148501E-2</v>
      </c>
      <c r="D58">
        <v>299.998053827658</v>
      </c>
      <c r="E58">
        <v>0.153</v>
      </c>
      <c r="F58">
        <v>3.2614999999999998E-2</v>
      </c>
      <c r="G58">
        <v>0.154</v>
      </c>
      <c r="AG58" s="8">
        <v>3.6131999999999997E-2</v>
      </c>
      <c r="AH58">
        <v>5.9473263349032503E-2</v>
      </c>
    </row>
    <row r="59" spans="1:34">
      <c r="A59">
        <v>16.487894617691001</v>
      </c>
      <c r="B59">
        <v>3.3208000000000001E-2</v>
      </c>
      <c r="C59">
        <v>2.7894666011148501E-2</v>
      </c>
      <c r="D59">
        <v>299.998053827658</v>
      </c>
      <c r="E59">
        <v>0.153</v>
      </c>
      <c r="F59">
        <v>3.3208000000000001E-2</v>
      </c>
      <c r="G59">
        <v>0.154</v>
      </c>
      <c r="AG59" s="8">
        <v>4.21539999999999E-2</v>
      </c>
      <c r="AH59">
        <v>5.5174205063959397E-2</v>
      </c>
    </row>
    <row r="60" spans="1:34">
      <c r="A60">
        <v>16.487894617691001</v>
      </c>
      <c r="B60">
        <v>3.3800999999999901E-2</v>
      </c>
      <c r="C60">
        <v>2.7894666011148501E-2</v>
      </c>
      <c r="D60">
        <v>299.998053827658</v>
      </c>
      <c r="E60">
        <v>0.153</v>
      </c>
      <c r="F60">
        <v>3.3800999999999901E-2</v>
      </c>
      <c r="G60">
        <v>0.154</v>
      </c>
      <c r="AG60" s="8">
        <v>4.8175999999999899E-2</v>
      </c>
      <c r="AH60">
        <v>5.1290609061106301E-2</v>
      </c>
    </row>
    <row r="61" spans="1:34">
      <c r="A61">
        <v>16.487894617691001</v>
      </c>
      <c r="B61">
        <v>3.4393999999999897E-2</v>
      </c>
      <c r="C61">
        <v>2.7894666011148501E-2</v>
      </c>
      <c r="D61">
        <v>299.998053827658</v>
      </c>
      <c r="E61">
        <v>0.153</v>
      </c>
      <c r="F61">
        <v>3.4393999999999897E-2</v>
      </c>
      <c r="G61">
        <v>0.154</v>
      </c>
      <c r="AG61" s="8">
        <v>5.4197999999999899E-2</v>
      </c>
      <c r="AH61">
        <v>5.1290609061106301E-2</v>
      </c>
    </row>
    <row r="62" spans="1:34">
      <c r="A62">
        <v>16.487894617691001</v>
      </c>
      <c r="B62">
        <v>3.49869999999999E-2</v>
      </c>
      <c r="C62">
        <v>2.7894666011148501E-2</v>
      </c>
      <c r="D62">
        <v>299.998053827658</v>
      </c>
      <c r="E62">
        <v>0.153</v>
      </c>
      <c r="F62">
        <v>3.49869999999999E-2</v>
      </c>
      <c r="G62">
        <v>0.154</v>
      </c>
      <c r="AG62" s="5">
        <v>6.0219999999999899E-2</v>
      </c>
      <c r="AH62">
        <v>5.1290609061106301E-2</v>
      </c>
    </row>
    <row r="63" spans="1:34">
      <c r="A63">
        <v>16.487894617691001</v>
      </c>
      <c r="B63">
        <v>3.5580000000000001E-2</v>
      </c>
      <c r="C63">
        <v>2.7894666011148501E-2</v>
      </c>
      <c r="D63">
        <v>299.998053827658</v>
      </c>
      <c r="E63">
        <v>0.153</v>
      </c>
      <c r="F63">
        <v>3.5580000000000001E-2</v>
      </c>
      <c r="G63">
        <v>0.154</v>
      </c>
      <c r="AG63" s="8">
        <v>6.6241999999999898E-2</v>
      </c>
      <c r="AH63">
        <v>4.9538220683436801E-2</v>
      </c>
    </row>
    <row r="64" spans="1:34">
      <c r="A64">
        <v>16.487894617691001</v>
      </c>
      <c r="B64">
        <v>3.61729999999999E-2</v>
      </c>
      <c r="C64">
        <v>2.7894666011148501E-2</v>
      </c>
      <c r="D64">
        <v>299.998053827658</v>
      </c>
      <c r="E64">
        <v>0.153</v>
      </c>
      <c r="F64">
        <v>3.61729999999999E-2</v>
      </c>
      <c r="G64">
        <v>0.154</v>
      </c>
      <c r="AG64" s="8">
        <v>7.2263999999999898E-2</v>
      </c>
      <c r="AH64">
        <v>4.3337728859998599E-2</v>
      </c>
    </row>
    <row r="65" spans="1:34">
      <c r="A65">
        <v>16.487894617691001</v>
      </c>
      <c r="B65">
        <v>3.6766E-2</v>
      </c>
      <c r="C65">
        <v>2.7894666011148501E-2</v>
      </c>
      <c r="D65">
        <v>299.998053827658</v>
      </c>
      <c r="E65">
        <v>0.153</v>
      </c>
      <c r="F65">
        <v>3.6766E-2</v>
      </c>
      <c r="G65">
        <v>0.154</v>
      </c>
      <c r="AG65" s="8">
        <v>7.8285999999999994E-2</v>
      </c>
      <c r="AH65">
        <v>3.8170511767356197E-2</v>
      </c>
    </row>
    <row r="66" spans="1:34">
      <c r="A66">
        <v>16.487894617691001</v>
      </c>
      <c r="B66">
        <v>3.7358999999999899E-2</v>
      </c>
      <c r="C66">
        <v>2.7894666011148501E-2</v>
      </c>
      <c r="D66">
        <v>299.998053827658</v>
      </c>
      <c r="E66">
        <v>0.153</v>
      </c>
      <c r="F66">
        <v>3.7358999999999899E-2</v>
      </c>
      <c r="G66">
        <v>0.154</v>
      </c>
      <c r="AG66" s="8">
        <v>8.4307999999999897E-2</v>
      </c>
      <c r="AH66">
        <v>3.8170511767356197E-2</v>
      </c>
    </row>
    <row r="67" spans="1:34">
      <c r="A67">
        <v>16.487894617691001</v>
      </c>
      <c r="B67">
        <v>3.7952E-2</v>
      </c>
      <c r="C67">
        <v>2.7894666011148501E-2</v>
      </c>
      <c r="D67">
        <v>299.998053827658</v>
      </c>
      <c r="E67">
        <v>0.153</v>
      </c>
      <c r="F67">
        <v>3.7952E-2</v>
      </c>
      <c r="G67">
        <v>0.154</v>
      </c>
      <c r="AG67" s="5">
        <v>9.0329999999999994E-2</v>
      </c>
      <c r="AH67">
        <v>3.3589818603206902E-2</v>
      </c>
    </row>
    <row r="68" spans="1:34">
      <c r="A68">
        <v>16.487894617691001</v>
      </c>
      <c r="B68">
        <v>3.8545000000000003E-2</v>
      </c>
      <c r="C68">
        <v>2.7894666011148501E-2</v>
      </c>
      <c r="D68">
        <v>299.998053827658</v>
      </c>
      <c r="E68">
        <v>0.153</v>
      </c>
      <c r="F68">
        <v>3.8545000000000003E-2</v>
      </c>
      <c r="G68">
        <v>0.154</v>
      </c>
      <c r="AG68" s="8">
        <v>9.6351999999999896E-2</v>
      </c>
      <c r="AH68">
        <v>2.28230281883374E-2</v>
      </c>
    </row>
    <row r="69" spans="1:34">
      <c r="A69" s="3">
        <v>16.487894617691001</v>
      </c>
      <c r="B69" s="3">
        <v>3.9137999999999902E-2</v>
      </c>
      <c r="C69">
        <v>2.7894666011148501E-2</v>
      </c>
      <c r="D69">
        <v>299.998053827658</v>
      </c>
      <c r="E69">
        <v>0.153</v>
      </c>
      <c r="F69">
        <v>3.9137999999999902E-2</v>
      </c>
      <c r="G69">
        <v>0.154</v>
      </c>
      <c r="AG69" s="8">
        <v>0.10237400000000001</v>
      </c>
      <c r="AH69">
        <v>2.28230281883374E-2</v>
      </c>
    </row>
    <row r="70" spans="1:34">
      <c r="A70" s="3">
        <v>16.487894617691001</v>
      </c>
      <c r="B70" s="3">
        <v>3.9731000000000002E-2</v>
      </c>
      <c r="C70">
        <v>2.7894666011148501E-2</v>
      </c>
      <c r="D70">
        <v>299.998053827658</v>
      </c>
      <c r="E70">
        <v>0.153</v>
      </c>
      <c r="F70">
        <v>3.9731000000000002E-2</v>
      </c>
      <c r="G70">
        <v>0.154</v>
      </c>
      <c r="AG70" s="8">
        <v>0.10839600000000001</v>
      </c>
      <c r="AH70">
        <v>1.37578765887392E-2</v>
      </c>
    </row>
    <row r="71" spans="1:34">
      <c r="A71">
        <v>16.525181767945899</v>
      </c>
      <c r="B71">
        <v>4.0323999999999902E-2</v>
      </c>
      <c r="C71">
        <v>1.37140422021467E-2</v>
      </c>
      <c r="D71">
        <v>299.99745612767703</v>
      </c>
      <c r="E71">
        <v>0.153</v>
      </c>
      <c r="F71">
        <v>4.0323999999999902E-2</v>
      </c>
      <c r="G71">
        <v>0.154</v>
      </c>
      <c r="AG71" s="8">
        <v>0.11441799999999901</v>
      </c>
      <c r="AH71">
        <v>1.37578765887392E-2</v>
      </c>
    </row>
    <row r="72" spans="1:34">
      <c r="A72">
        <v>16.525181767945899</v>
      </c>
      <c r="B72">
        <v>4.0916999999999898E-2</v>
      </c>
      <c r="C72">
        <v>1.37140422021467E-2</v>
      </c>
      <c r="D72">
        <v>299.99745612767703</v>
      </c>
      <c r="E72">
        <v>0.153</v>
      </c>
      <c r="F72">
        <v>4.0916999999999898E-2</v>
      </c>
      <c r="G72">
        <v>0.154</v>
      </c>
      <c r="AG72" s="5">
        <v>0.12043999999999901</v>
      </c>
      <c r="AH72">
        <v>1.37578765887392E-2</v>
      </c>
    </row>
    <row r="73" spans="1:34">
      <c r="A73">
        <v>16.525181767945899</v>
      </c>
      <c r="B73">
        <v>4.1509999999999901E-2</v>
      </c>
      <c r="C73">
        <v>1.37140422021467E-2</v>
      </c>
      <c r="D73">
        <v>299.99745612767703</v>
      </c>
      <c r="E73">
        <v>0.153</v>
      </c>
      <c r="F73">
        <v>4.1509999999999901E-2</v>
      </c>
      <c r="G73">
        <v>0.154</v>
      </c>
      <c r="AG73" s="8">
        <v>0.12646199999999899</v>
      </c>
      <c r="AH73">
        <v>-2.6678932355576799E-3</v>
      </c>
    </row>
    <row r="74" spans="1:34">
      <c r="A74">
        <v>16.525181767945899</v>
      </c>
      <c r="B74">
        <v>4.2102999999999897E-2</v>
      </c>
      <c r="C74">
        <v>1.37140422021467E-2</v>
      </c>
      <c r="D74">
        <v>299.99745612767703</v>
      </c>
      <c r="E74">
        <v>0.153</v>
      </c>
      <c r="F74">
        <v>4.2102999999999897E-2</v>
      </c>
      <c r="G74">
        <v>0.154</v>
      </c>
      <c r="AG74" s="8">
        <v>0.13248399999999899</v>
      </c>
      <c r="AH74">
        <v>-2.6678932355576799E-3</v>
      </c>
    </row>
    <row r="75" spans="1:34">
      <c r="A75">
        <v>16.525181767945899</v>
      </c>
      <c r="B75">
        <v>4.2695999999999901E-2</v>
      </c>
      <c r="C75">
        <v>1.37140422021467E-2</v>
      </c>
      <c r="D75">
        <v>299.99745612767703</v>
      </c>
      <c r="E75">
        <v>0.153</v>
      </c>
      <c r="F75">
        <v>4.2695999999999901E-2</v>
      </c>
      <c r="G75">
        <v>0.154</v>
      </c>
      <c r="AG75" s="8">
        <v>0.13850599999999899</v>
      </c>
      <c r="AH75">
        <v>-1.7146261882699701E-2</v>
      </c>
    </row>
    <row r="76" spans="1:34">
      <c r="A76">
        <v>16.525181767945899</v>
      </c>
      <c r="B76">
        <v>4.3289000000000001E-2</v>
      </c>
      <c r="C76">
        <v>1.37140422021467E-2</v>
      </c>
      <c r="D76">
        <v>299.99745612767703</v>
      </c>
      <c r="E76">
        <v>0.153</v>
      </c>
      <c r="F76">
        <v>4.3289000000000001E-2</v>
      </c>
      <c r="G76">
        <v>0.154</v>
      </c>
      <c r="AG76" s="8">
        <v>0.14452799999999899</v>
      </c>
      <c r="AH76">
        <v>-1.7146261882699701E-2</v>
      </c>
    </row>
    <row r="77" spans="1:34">
      <c r="A77">
        <v>16.525181767945899</v>
      </c>
      <c r="B77">
        <v>4.38819999999999E-2</v>
      </c>
      <c r="C77">
        <v>1.37140422021467E-2</v>
      </c>
      <c r="D77">
        <v>299.99745612767703</v>
      </c>
      <c r="E77">
        <v>0.153</v>
      </c>
      <c r="F77">
        <v>4.38819999999999E-2</v>
      </c>
      <c r="G77">
        <v>0.154</v>
      </c>
      <c r="AG77" s="5">
        <v>0.15054999999999999</v>
      </c>
      <c r="AH77">
        <v>-2.7300011823121698E-2</v>
      </c>
    </row>
    <row r="78" spans="1:34">
      <c r="A78">
        <v>16.525181767945899</v>
      </c>
      <c r="B78">
        <v>4.4475000000000001E-2</v>
      </c>
      <c r="C78">
        <v>1.37140422021467E-2</v>
      </c>
      <c r="D78">
        <v>299.99745612767703</v>
      </c>
      <c r="E78">
        <v>0.153</v>
      </c>
      <c r="F78">
        <v>4.4475000000000001E-2</v>
      </c>
      <c r="G78">
        <v>0.154</v>
      </c>
      <c r="AG78" s="8">
        <v>0.15657199999999899</v>
      </c>
      <c r="AH78">
        <v>-2.7300011823121698E-2</v>
      </c>
    </row>
    <row r="79" spans="1:34">
      <c r="A79">
        <v>16.525181767945899</v>
      </c>
      <c r="B79">
        <v>4.50679999999999E-2</v>
      </c>
      <c r="C79">
        <v>1.37140422021467E-2</v>
      </c>
      <c r="D79">
        <v>299.99745612767703</v>
      </c>
      <c r="E79">
        <v>0.153</v>
      </c>
      <c r="F79">
        <v>4.50679999999999E-2</v>
      </c>
      <c r="G79">
        <v>0.154</v>
      </c>
      <c r="AG79" s="8">
        <v>0.16259399999999999</v>
      </c>
      <c r="AH79">
        <v>-4.6783250492390301E-2</v>
      </c>
    </row>
    <row r="80" spans="1:34">
      <c r="A80">
        <v>16.525181767945899</v>
      </c>
      <c r="B80">
        <v>4.5661E-2</v>
      </c>
      <c r="C80">
        <v>1.37140422021467E-2</v>
      </c>
      <c r="D80">
        <v>299.99745612767703</v>
      </c>
      <c r="E80">
        <v>0.153</v>
      </c>
      <c r="F80">
        <v>4.5661E-2</v>
      </c>
      <c r="G80">
        <v>0.154</v>
      </c>
      <c r="AG80" s="8">
        <v>0.16861599999999899</v>
      </c>
      <c r="AH80">
        <v>-4.6783250492390301E-2</v>
      </c>
    </row>
    <row r="81" spans="1:34">
      <c r="A81">
        <v>16.525181767945899</v>
      </c>
      <c r="B81">
        <v>4.6254000000000003E-2</v>
      </c>
      <c r="C81">
        <v>1.37140422021467E-2</v>
      </c>
      <c r="D81">
        <v>299.99745612767703</v>
      </c>
      <c r="E81">
        <v>0.153</v>
      </c>
      <c r="F81">
        <v>4.6254000000000003E-2</v>
      </c>
      <c r="G81">
        <v>0.154</v>
      </c>
      <c r="AG81" s="8">
        <v>0.17463799999999999</v>
      </c>
      <c r="AH81">
        <v>-6.1421594518216403E-2</v>
      </c>
    </row>
    <row r="82" spans="1:34">
      <c r="A82">
        <v>16.525181767945899</v>
      </c>
      <c r="B82">
        <v>4.6847E-2</v>
      </c>
      <c r="C82">
        <v>1.37140422021467E-2</v>
      </c>
      <c r="D82">
        <v>299.99745612767703</v>
      </c>
      <c r="E82">
        <v>0.153</v>
      </c>
      <c r="F82">
        <v>4.6847E-2</v>
      </c>
      <c r="G82">
        <v>0.154</v>
      </c>
      <c r="AG82" s="5">
        <v>0.18065999999999899</v>
      </c>
      <c r="AH82">
        <v>-6.1421594518216403E-2</v>
      </c>
    </row>
    <row r="83" spans="1:34">
      <c r="A83">
        <v>16.525181767945899</v>
      </c>
      <c r="B83">
        <v>4.7440000000000003E-2</v>
      </c>
      <c r="C83">
        <v>1.37140422021467E-2</v>
      </c>
      <c r="D83">
        <v>299.99745612767703</v>
      </c>
      <c r="E83">
        <v>0.153</v>
      </c>
      <c r="F83">
        <v>4.7440000000000003E-2</v>
      </c>
      <c r="G83">
        <v>0.154</v>
      </c>
      <c r="AG83" s="8">
        <v>0.18668199999999999</v>
      </c>
      <c r="AH83">
        <v>-7.9411956381846199E-2</v>
      </c>
    </row>
    <row r="84" spans="1:34">
      <c r="A84">
        <v>16.453216083836001</v>
      </c>
      <c r="B84">
        <v>4.8032999999999902E-2</v>
      </c>
      <c r="C84">
        <v>7.5151896097754101E-3</v>
      </c>
      <c r="D84">
        <v>299.99854856652797</v>
      </c>
      <c r="E84">
        <v>0.153</v>
      </c>
      <c r="F84">
        <v>4.8032999999999902E-2</v>
      </c>
      <c r="G84">
        <v>0.154</v>
      </c>
      <c r="AG84" s="8">
        <v>0.19270399999999899</v>
      </c>
      <c r="AH84">
        <v>-7.9411956381846199E-2</v>
      </c>
    </row>
    <row r="85" spans="1:34">
      <c r="A85" s="3">
        <v>16.453216083836001</v>
      </c>
      <c r="B85" s="3">
        <v>4.8625999999999898E-2</v>
      </c>
      <c r="C85">
        <v>7.5151896097754101E-3</v>
      </c>
      <c r="D85">
        <v>299.99854856652797</v>
      </c>
      <c r="E85">
        <v>0.153</v>
      </c>
      <c r="F85">
        <v>4.8625999999999898E-2</v>
      </c>
      <c r="G85">
        <v>0.154</v>
      </c>
      <c r="AG85" s="8">
        <v>0.19872599999999899</v>
      </c>
      <c r="AH85">
        <v>-7.9411956381846199E-2</v>
      </c>
    </row>
    <row r="86" spans="1:34">
      <c r="A86" s="3">
        <v>16.453216083836001</v>
      </c>
      <c r="B86" s="3">
        <v>4.9218999999999902E-2</v>
      </c>
      <c r="C86">
        <v>7.5151896097754101E-3</v>
      </c>
      <c r="D86">
        <v>299.99854856652797</v>
      </c>
      <c r="E86">
        <v>0.153</v>
      </c>
      <c r="F86">
        <v>4.9218999999999902E-2</v>
      </c>
      <c r="G86">
        <v>0.154</v>
      </c>
      <c r="AG86" s="8">
        <v>0.20474799999999899</v>
      </c>
      <c r="AH86">
        <v>-9.7511660311378201E-2</v>
      </c>
    </row>
    <row r="87" spans="1:34">
      <c r="A87">
        <v>16.453216083836001</v>
      </c>
      <c r="B87">
        <v>4.9811999999999898E-2</v>
      </c>
      <c r="C87">
        <v>7.5151896097754101E-3</v>
      </c>
      <c r="D87">
        <v>299.99854856652797</v>
      </c>
      <c r="E87">
        <v>0.153</v>
      </c>
      <c r="F87">
        <v>4.9811999999999898E-2</v>
      </c>
      <c r="G87">
        <v>0.154</v>
      </c>
      <c r="AG87" s="5">
        <v>0.21076999999999901</v>
      </c>
      <c r="AH87">
        <v>-9.7511660311378201E-2</v>
      </c>
    </row>
    <row r="88" spans="1:34">
      <c r="A88">
        <v>16.453216083836001</v>
      </c>
      <c r="B88">
        <v>5.0404999999999901E-2</v>
      </c>
      <c r="C88">
        <v>7.5151896097754101E-3</v>
      </c>
      <c r="D88">
        <v>299.99854856652797</v>
      </c>
      <c r="E88">
        <v>0.153</v>
      </c>
      <c r="F88">
        <v>5.0404999999999901E-2</v>
      </c>
      <c r="G88">
        <v>0.154</v>
      </c>
      <c r="AG88" s="8">
        <v>0.21679199999999901</v>
      </c>
      <c r="AH88">
        <v>-0.12457995925512801</v>
      </c>
    </row>
    <row r="89" spans="1:34">
      <c r="A89">
        <v>16.453216083836001</v>
      </c>
      <c r="B89">
        <v>5.0997999999999898E-2</v>
      </c>
      <c r="C89">
        <v>7.5151896097754101E-3</v>
      </c>
      <c r="D89">
        <v>299.99854856652797</v>
      </c>
      <c r="E89">
        <v>0.153</v>
      </c>
      <c r="F89">
        <v>5.0997999999999898E-2</v>
      </c>
      <c r="G89">
        <v>0.154</v>
      </c>
      <c r="AG89" s="8">
        <v>0.22281400000000001</v>
      </c>
      <c r="AH89">
        <v>-0.135788282846526</v>
      </c>
    </row>
    <row r="90" spans="1:34">
      <c r="A90">
        <v>16.453216083836001</v>
      </c>
      <c r="B90">
        <v>5.1590999999999901E-2</v>
      </c>
      <c r="C90">
        <v>7.5151896097754101E-3</v>
      </c>
      <c r="D90">
        <v>299.99854856652797</v>
      </c>
      <c r="E90">
        <v>0.153</v>
      </c>
      <c r="F90">
        <v>5.1590999999999901E-2</v>
      </c>
      <c r="G90">
        <v>0.154</v>
      </c>
      <c r="AG90" s="8">
        <v>0.22883599999999901</v>
      </c>
      <c r="AH90">
        <v>-0.135788282846526</v>
      </c>
    </row>
    <row r="91" spans="1:34">
      <c r="A91">
        <v>16.453216083836001</v>
      </c>
      <c r="B91">
        <v>5.2184000000000001E-2</v>
      </c>
      <c r="C91">
        <v>7.5151896097754101E-3</v>
      </c>
      <c r="D91">
        <v>299.99854856652797</v>
      </c>
      <c r="E91">
        <v>0.153</v>
      </c>
      <c r="F91">
        <v>5.2184000000000001E-2</v>
      </c>
      <c r="G91">
        <v>0.154</v>
      </c>
      <c r="AG91" s="8">
        <v>0.23485799999999901</v>
      </c>
      <c r="AH91">
        <v>-0.135788282846526</v>
      </c>
    </row>
    <row r="92" spans="1:34">
      <c r="A92">
        <v>16.453216083836001</v>
      </c>
      <c r="B92">
        <v>5.27769999999999E-2</v>
      </c>
      <c r="C92">
        <v>7.5151896097754101E-3</v>
      </c>
      <c r="D92">
        <v>299.99854856652797</v>
      </c>
      <c r="E92">
        <v>0.153</v>
      </c>
      <c r="F92">
        <v>5.27769999999999E-2</v>
      </c>
      <c r="G92">
        <v>0.154</v>
      </c>
      <c r="AG92" s="5">
        <v>0.24088000000000001</v>
      </c>
      <c r="AH92">
        <v>-0.15805355575437599</v>
      </c>
    </row>
    <row r="93" spans="1:34">
      <c r="A93">
        <v>16.453216083836001</v>
      </c>
      <c r="B93">
        <v>5.3370000000000001E-2</v>
      </c>
      <c r="C93">
        <v>7.5151896097754101E-3</v>
      </c>
      <c r="D93">
        <v>299.99854856652797</v>
      </c>
      <c r="E93">
        <v>0.153</v>
      </c>
      <c r="F93">
        <v>5.3370000000000001E-2</v>
      </c>
      <c r="G93">
        <v>0.154</v>
      </c>
      <c r="AG93" s="8">
        <v>0.24690200000000001</v>
      </c>
      <c r="AH93">
        <v>-0.15805355575437599</v>
      </c>
    </row>
    <row r="94" spans="1:34">
      <c r="A94">
        <v>16.453216083836001</v>
      </c>
      <c r="B94">
        <v>5.39629999999999E-2</v>
      </c>
      <c r="C94">
        <v>7.5151896097754101E-3</v>
      </c>
      <c r="D94">
        <v>299.99854856652797</v>
      </c>
      <c r="E94">
        <v>0.153</v>
      </c>
      <c r="F94">
        <v>5.39629999999999E-2</v>
      </c>
      <c r="G94">
        <v>0.154</v>
      </c>
      <c r="AG94" s="8">
        <v>0.25292399999999898</v>
      </c>
      <c r="AH94">
        <v>-0.185215975121193</v>
      </c>
    </row>
    <row r="95" spans="1:34">
      <c r="A95">
        <v>16.453216083836001</v>
      </c>
      <c r="B95">
        <v>5.4556E-2</v>
      </c>
      <c r="C95">
        <v>7.5151896097754101E-3</v>
      </c>
      <c r="D95">
        <v>299.99854856652797</v>
      </c>
      <c r="E95">
        <v>0.153</v>
      </c>
      <c r="F95">
        <v>5.4556E-2</v>
      </c>
      <c r="G95">
        <v>0.154</v>
      </c>
      <c r="AG95" s="8">
        <v>0.25894600000000001</v>
      </c>
      <c r="AH95">
        <v>-0.185215975121193</v>
      </c>
    </row>
    <row r="96" spans="1:34">
      <c r="A96">
        <v>16.453216083836001</v>
      </c>
      <c r="B96">
        <v>5.5148999999999997E-2</v>
      </c>
      <c r="C96">
        <v>7.5151896097754101E-3</v>
      </c>
      <c r="D96">
        <v>299.99854856652797</v>
      </c>
      <c r="E96">
        <v>0.153</v>
      </c>
      <c r="F96">
        <v>5.5148999999999997E-2</v>
      </c>
      <c r="G96">
        <v>0.154</v>
      </c>
      <c r="AG96" s="8">
        <v>0.26496799999999898</v>
      </c>
      <c r="AH96">
        <v>-0.22177696542834399</v>
      </c>
    </row>
    <row r="97" spans="1:34">
      <c r="A97">
        <v>16.453216083836001</v>
      </c>
      <c r="B97">
        <v>5.5741999999999903E-2</v>
      </c>
      <c r="C97">
        <v>7.5151896097754101E-3</v>
      </c>
      <c r="D97">
        <v>299.99854856652797</v>
      </c>
      <c r="E97">
        <v>0.153</v>
      </c>
      <c r="F97">
        <v>5.5741999999999903E-2</v>
      </c>
      <c r="G97">
        <v>0.154</v>
      </c>
      <c r="AG97" s="5">
        <v>0.27099000000000001</v>
      </c>
      <c r="AH97">
        <v>-0.22177696542834399</v>
      </c>
    </row>
    <row r="98" spans="1:34">
      <c r="A98">
        <v>16.453216083836001</v>
      </c>
      <c r="B98">
        <v>5.6334999999999899E-2</v>
      </c>
      <c r="C98">
        <v>7.5151896097754101E-3</v>
      </c>
      <c r="D98">
        <v>299.99854856652797</v>
      </c>
      <c r="E98">
        <v>0.153</v>
      </c>
      <c r="F98">
        <v>5.6334999999999899E-2</v>
      </c>
      <c r="G98">
        <v>0.154</v>
      </c>
      <c r="AG98" s="5">
        <v>0.27701199999999898</v>
      </c>
      <c r="AH98">
        <v>-0.23865303568989399</v>
      </c>
    </row>
    <row r="99" spans="1:34">
      <c r="A99">
        <v>16.453216083836001</v>
      </c>
      <c r="B99">
        <v>5.6927999999999902E-2</v>
      </c>
      <c r="C99">
        <v>7.5151896097754101E-3</v>
      </c>
      <c r="D99">
        <v>299.99854856652797</v>
      </c>
      <c r="E99">
        <v>0.153</v>
      </c>
      <c r="F99">
        <v>5.6927999999999902E-2</v>
      </c>
      <c r="G99">
        <v>0.154</v>
      </c>
      <c r="AG99" s="5">
        <v>0.28303399999999901</v>
      </c>
      <c r="AH99">
        <v>-0.23865303568989399</v>
      </c>
    </row>
    <row r="100" spans="1:34">
      <c r="A100">
        <v>16.453216083836001</v>
      </c>
      <c r="B100">
        <v>5.7520999999999899E-2</v>
      </c>
      <c r="C100">
        <v>7.5151896097754101E-3</v>
      </c>
      <c r="D100">
        <v>299.99854856652797</v>
      </c>
      <c r="E100">
        <v>0.153</v>
      </c>
      <c r="F100">
        <v>5.7520999999999899E-2</v>
      </c>
      <c r="G100">
        <v>0.154</v>
      </c>
      <c r="AG100" s="5">
        <v>0.28905599999999898</v>
      </c>
      <c r="AH100">
        <v>-0.27193394718556801</v>
      </c>
    </row>
    <row r="101" spans="1:34">
      <c r="A101">
        <v>16.453216083836001</v>
      </c>
      <c r="B101">
        <v>5.8113999999999902E-2</v>
      </c>
      <c r="C101">
        <v>7.5151896097754101E-3</v>
      </c>
      <c r="D101">
        <v>299.99854856652797</v>
      </c>
      <c r="E101">
        <v>0.153</v>
      </c>
      <c r="F101">
        <v>5.8113999999999902E-2</v>
      </c>
      <c r="G101">
        <v>0.154</v>
      </c>
      <c r="AG101" s="5">
        <v>0.29507800000000001</v>
      </c>
      <c r="AH101">
        <v>-0.28762061386351101</v>
      </c>
    </row>
    <row r="102" spans="1:34">
      <c r="A102" s="3">
        <v>16.453216083836001</v>
      </c>
      <c r="B102" s="3">
        <v>5.8706999999999898E-2</v>
      </c>
      <c r="C102">
        <v>7.5151896097754101E-3</v>
      </c>
      <c r="D102">
        <v>299.99854856652797</v>
      </c>
      <c r="E102">
        <v>0.153</v>
      </c>
      <c r="F102">
        <v>5.8706999999999898E-2</v>
      </c>
      <c r="G102">
        <v>0.154</v>
      </c>
      <c r="AG102" s="5">
        <v>0.30109999999999898</v>
      </c>
      <c r="AH102">
        <v>-0.30344355646960802</v>
      </c>
    </row>
    <row r="103" spans="1:34">
      <c r="A103" s="3">
        <v>16.453216083836001</v>
      </c>
      <c r="B103" s="3">
        <v>5.9299999999999901E-2</v>
      </c>
      <c r="C103">
        <v>7.5151896097754101E-3</v>
      </c>
      <c r="D103">
        <v>299.99854856652797</v>
      </c>
      <c r="E103">
        <v>0.153</v>
      </c>
      <c r="F103">
        <v>5.9299999999999901E-2</v>
      </c>
      <c r="G103">
        <v>0.154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EAC19-59BF-4FC9-AA45-F97858A2BBC2}">
  <dimension ref="A1:AK103"/>
  <sheetViews>
    <sheetView topLeftCell="C16" zoomScale="60" zoomScaleNormal="60" workbookViewId="0">
      <selection activeCell="AL40" sqref="AL40"/>
    </sheetView>
  </sheetViews>
  <sheetFormatPr defaultRowHeight="14.25"/>
  <sheetData>
    <row r="1" spans="1:37">
      <c r="A1" t="s">
        <v>7</v>
      </c>
      <c r="I1" t="s">
        <v>8</v>
      </c>
      <c r="W1" t="s">
        <v>19</v>
      </c>
      <c r="AE1" s="2" t="s">
        <v>31</v>
      </c>
      <c r="AF1" t="s">
        <v>32</v>
      </c>
      <c r="AG1" t="s">
        <v>33</v>
      </c>
      <c r="AH1" t="s">
        <v>34</v>
      </c>
      <c r="AJ1" t="s">
        <v>35</v>
      </c>
      <c r="AK1" t="s">
        <v>36</v>
      </c>
    </row>
    <row r="2" spans="1:37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I2" s="2"/>
      <c r="J2" t="s">
        <v>22</v>
      </c>
      <c r="K2" t="s">
        <v>23</v>
      </c>
      <c r="L2" t="s">
        <v>11</v>
      </c>
      <c r="M2" t="s">
        <v>12</v>
      </c>
      <c r="N2" t="s">
        <v>24</v>
      </c>
      <c r="O2" t="s">
        <v>14</v>
      </c>
      <c r="P2" t="s">
        <v>15</v>
      </c>
      <c r="Q2" t="s">
        <v>16</v>
      </c>
      <c r="R2" t="s">
        <v>17</v>
      </c>
      <c r="S2" s="2"/>
      <c r="T2" t="s">
        <v>25</v>
      </c>
      <c r="U2" t="s">
        <v>26</v>
      </c>
      <c r="W2" t="s">
        <v>5</v>
      </c>
      <c r="X2" t="s">
        <v>27</v>
      </c>
      <c r="Y2" t="s">
        <v>28</v>
      </c>
      <c r="Z2" t="s">
        <v>29</v>
      </c>
      <c r="AA2" t="s">
        <v>30</v>
      </c>
      <c r="AB2" t="s">
        <v>7</v>
      </c>
      <c r="AC2" t="s">
        <v>8</v>
      </c>
      <c r="AE2" s="2">
        <v>-10</v>
      </c>
      <c r="AF2">
        <v>0.22857</v>
      </c>
      <c r="AG2" s="6">
        <v>-0.31966</v>
      </c>
      <c r="AH2">
        <v>-0.51065415198879505</v>
      </c>
      <c r="AI2">
        <f>AE2/100</f>
        <v>-0.1</v>
      </c>
      <c r="AJ2" s="9">
        <f>AH36+(AI2-AG36)*(AH37-AH36)/(AG37-AG36)</f>
        <v>0.190945124297385</v>
      </c>
      <c r="AK2">
        <v>0.22857</v>
      </c>
    </row>
    <row r="3" spans="1:37">
      <c r="A3">
        <v>8.5630699766882401</v>
      </c>
      <c r="B3">
        <v>0</v>
      </c>
      <c r="C3">
        <v>3.64589055872244E-3</v>
      </c>
      <c r="D3">
        <v>304.45098576003602</v>
      </c>
      <c r="E3">
        <v>0.30499999999999899</v>
      </c>
      <c r="F3">
        <v>0</v>
      </c>
      <c r="G3">
        <v>0.16700000000000001</v>
      </c>
      <c r="I3" s="2"/>
      <c r="J3">
        <v>4.1000000000000002E-2</v>
      </c>
      <c r="K3">
        <v>0.31472699999999998</v>
      </c>
      <c r="L3">
        <v>0.50739999999999996</v>
      </c>
      <c r="M3">
        <v>0.59648999999999996</v>
      </c>
      <c r="N3">
        <v>16.026509999999998</v>
      </c>
      <c r="O3">
        <v>4.8695300000000001</v>
      </c>
      <c r="P3">
        <v>3.8662999999999998</v>
      </c>
      <c r="Q3">
        <v>6.2177699999999998</v>
      </c>
      <c r="R3">
        <v>38.448999999999998</v>
      </c>
      <c r="S3" s="2">
        <f>T3/100</f>
        <v>0</v>
      </c>
      <c r="T3">
        <v>0</v>
      </c>
      <c r="U3">
        <v>45.968000000000004</v>
      </c>
      <c r="W3">
        <v>5.5000000000000003E-4</v>
      </c>
      <c r="X3">
        <f>A3+(W3-B3)*(A4-A3)/(B4-B3)</f>
        <v>8.5630699766882401</v>
      </c>
      <c r="Y3">
        <f>O3</f>
        <v>4.8695300000000001</v>
      </c>
      <c r="Z3" s="4">
        <f>C3+(W3-B3)*(C4-C3)/(B4-B3)</f>
        <v>3.64589055872244E-3</v>
      </c>
      <c r="AA3">
        <f>P3</f>
        <v>3.8662999999999998</v>
      </c>
      <c r="AB3">
        <f>D3+(W3-B3)*(D4-D3)/(B4-B3)</f>
        <v>304.45098576003602</v>
      </c>
      <c r="AC3">
        <f>(U6+(W3-S6)*(U7-U6)/(S7-S6))+273</f>
        <v>310.10000000000002</v>
      </c>
      <c r="AE3" s="2">
        <v>-9</v>
      </c>
      <c r="AF3">
        <v>0.24381</v>
      </c>
      <c r="AG3" s="6">
        <v>-0.31326680000000001</v>
      </c>
      <c r="AH3">
        <v>-0.48867894093849801</v>
      </c>
      <c r="AI3">
        <f>AE3/100</f>
        <v>-0.09</v>
      </c>
      <c r="AJ3" s="9">
        <f>AH38</f>
        <v>0.19166205974815201</v>
      </c>
      <c r="AK3">
        <v>0.24381</v>
      </c>
    </row>
    <row r="4" spans="1:37">
      <c r="A4">
        <v>8.5630699766882401</v>
      </c>
      <c r="B4">
        <v>5.9299999999999902E-4</v>
      </c>
      <c r="C4">
        <v>3.64589055872244E-3</v>
      </c>
      <c r="D4">
        <v>304.45098576003602</v>
      </c>
      <c r="E4">
        <v>0.30499999999999899</v>
      </c>
      <c r="F4">
        <v>5.9299999999999902E-4</v>
      </c>
      <c r="G4">
        <v>0.16700000000000001</v>
      </c>
      <c r="I4" s="2"/>
      <c r="J4">
        <v>0.05</v>
      </c>
      <c r="K4">
        <v>0.31472699999999998</v>
      </c>
      <c r="L4">
        <v>0.50739999999999996</v>
      </c>
      <c r="M4">
        <v>0.59648999999999996</v>
      </c>
      <c r="N4">
        <v>16.023589999999999</v>
      </c>
      <c r="O4">
        <v>5.0252699999999999</v>
      </c>
      <c r="P4">
        <v>3.91174</v>
      </c>
      <c r="Q4">
        <v>6.3682800000000004</v>
      </c>
      <c r="R4">
        <v>37.898000000000003</v>
      </c>
      <c r="S4" s="2">
        <f t="shared" ref="S4:S28" si="0">T4/100</f>
        <v>3.5999999999999997E-4</v>
      </c>
      <c r="T4">
        <v>3.5999999999999997E-2</v>
      </c>
      <c r="U4">
        <v>38.061300000000003</v>
      </c>
      <c r="W4">
        <v>6.4999999999999997E-4</v>
      </c>
      <c r="X4">
        <f>A4+(W4-B4)*(A5-A4)/(B5-B4)</f>
        <v>8.8153539542891863</v>
      </c>
      <c r="Y4">
        <f t="shared" ref="Y4:Y27" si="1">O4</f>
        <v>5.0252699999999999</v>
      </c>
      <c r="Z4" s="4">
        <f>C4+(W4-B4)*(C5-C4)/(B5-B4)</f>
        <v>4.5635891115955694E-3</v>
      </c>
      <c r="AA4">
        <f t="shared" ref="AA4:AA27" si="2">P4</f>
        <v>3.91174</v>
      </c>
      <c r="AB4">
        <f>D4+(W4-B4)*(D5-D4)/(B5-B4)</f>
        <v>304.2575991067921</v>
      </c>
      <c r="AC4">
        <f t="shared" ref="AC4:AC11" si="3">(U6+(W4-S6)*(U7-U6)/(S7-S6))+273</f>
        <v>309.733</v>
      </c>
      <c r="AE4" s="2">
        <v>-8</v>
      </c>
      <c r="AF4">
        <v>0.25617000000000001</v>
      </c>
      <c r="AG4" s="6">
        <v>-0.30687360000000002</v>
      </c>
      <c r="AH4">
        <v>-0.44770979549001999</v>
      </c>
      <c r="AI4">
        <f t="shared" ref="AI4:AI39" si="4">AE4/100</f>
        <v>-0.08</v>
      </c>
      <c r="AJ4" s="9">
        <f>AH39+(AI4-AG39)*(AH40-AH39)/(AG40-AG39)</f>
        <v>0.23035589220133032</v>
      </c>
      <c r="AK4">
        <v>0.25617000000000001</v>
      </c>
    </row>
    <row r="5" spans="1:37">
      <c r="A5">
        <v>11.187708550677</v>
      </c>
      <c r="B5">
        <v>1.186E-3</v>
      </c>
      <c r="C5">
        <v>1.31931755035252E-2</v>
      </c>
      <c r="D5">
        <v>302.43908601663901</v>
      </c>
      <c r="E5">
        <v>0.30499999999999899</v>
      </c>
      <c r="F5">
        <v>1.186E-3</v>
      </c>
      <c r="G5">
        <v>0.16700000000000001</v>
      </c>
      <c r="I5" s="2"/>
      <c r="J5">
        <v>6.3E-2</v>
      </c>
      <c r="K5">
        <v>0.31472699999999998</v>
      </c>
      <c r="L5">
        <v>0.50739999999999996</v>
      </c>
      <c r="M5">
        <v>0.59648999999999996</v>
      </c>
      <c r="N5">
        <v>16.02383</v>
      </c>
      <c r="O5">
        <v>5.3144200000000001</v>
      </c>
      <c r="P5">
        <v>4.0384200000000003</v>
      </c>
      <c r="Q5">
        <v>6.6747199999999998</v>
      </c>
      <c r="R5">
        <v>37.231000000000002</v>
      </c>
      <c r="S5" s="2">
        <f t="shared" si="0"/>
        <v>4.3999999999999996E-4</v>
      </c>
      <c r="T5">
        <v>4.3999999999999997E-2</v>
      </c>
      <c r="U5">
        <v>37.708399999999997</v>
      </c>
      <c r="W5">
        <v>7.6999999999999996E-4</v>
      </c>
      <c r="X5">
        <f>A4+(W5-B4)*(A5-A4)/(B5-B4)</f>
        <v>9.3464781176595935</v>
      </c>
      <c r="Y5">
        <f t="shared" si="1"/>
        <v>5.3144200000000001</v>
      </c>
      <c r="Z5" s="4">
        <f>C4+(W5-B4)*(C5-C4)/(B5-B4)</f>
        <v>6.4955860650126509E-3</v>
      </c>
      <c r="AA5">
        <f t="shared" si="2"/>
        <v>4.0384200000000003</v>
      </c>
      <c r="AB5">
        <f>D4+(W5-B4)*(D5-D4)/(B5-B4)</f>
        <v>303.85046931048919</v>
      </c>
      <c r="AC5">
        <f t="shared" si="3"/>
        <v>309.43209999999999</v>
      </c>
      <c r="AE5" s="2">
        <v>-7</v>
      </c>
      <c r="AF5">
        <v>0.27006999999999998</v>
      </c>
      <c r="AG5" s="6">
        <v>-0.30048039999999898</v>
      </c>
      <c r="AH5">
        <v>-0.43470792607837699</v>
      </c>
      <c r="AI5">
        <f t="shared" si="4"/>
        <v>-7.0000000000000007E-2</v>
      </c>
      <c r="AJ5" s="9">
        <f>AH41</f>
        <v>0.24238812728850601</v>
      </c>
      <c r="AK5">
        <v>0.27006999999999998</v>
      </c>
    </row>
    <row r="6" spans="1:37">
      <c r="A6">
        <v>11.187708550677</v>
      </c>
      <c r="B6">
        <v>1.779E-3</v>
      </c>
      <c r="C6">
        <v>1.31931755035252E-2</v>
      </c>
      <c r="D6">
        <v>302.43908601663901</v>
      </c>
      <c r="E6">
        <v>0.30499999999999899</v>
      </c>
      <c r="F6">
        <v>1.779E-3</v>
      </c>
      <c r="G6">
        <v>0.16700000000000001</v>
      </c>
      <c r="I6" s="2"/>
      <c r="J6">
        <v>7.8E-2</v>
      </c>
      <c r="K6">
        <v>0.31472699999999998</v>
      </c>
      <c r="L6">
        <v>0.50739999999999996</v>
      </c>
      <c r="M6">
        <v>0.59648999999999996</v>
      </c>
      <c r="N6">
        <v>16.02195</v>
      </c>
      <c r="O6">
        <v>5.5582000000000003</v>
      </c>
      <c r="P6">
        <v>4.1577099999999998</v>
      </c>
      <c r="Q6">
        <v>6.9411899999999997</v>
      </c>
      <c r="R6">
        <v>36.798000000000002</v>
      </c>
      <c r="S6" s="2">
        <f t="shared" si="0"/>
        <v>5.4000000000000001E-4</v>
      </c>
      <c r="T6">
        <v>5.3999999999999999E-2</v>
      </c>
      <c r="U6">
        <v>37.136699999999998</v>
      </c>
      <c r="W6">
        <v>9.2000000000000003E-4</v>
      </c>
      <c r="X6">
        <f>A4+(W6-B4)*(A5-A4)/(B5-B4)</f>
        <v>10.010383321872601</v>
      </c>
      <c r="Y6">
        <f t="shared" si="1"/>
        <v>5.5582000000000003</v>
      </c>
      <c r="Z6" s="4">
        <f>C4+(W6-B4)*(C5-C4)/(B5-B4)</f>
        <v>8.9105822567840023E-3</v>
      </c>
      <c r="AA6">
        <f t="shared" si="2"/>
        <v>4.1577099999999998</v>
      </c>
      <c r="AB6">
        <f>D4+(W6-B4)*(D5-D4)/(B5-B4)</f>
        <v>303.34155706511052</v>
      </c>
      <c r="AC6">
        <f t="shared" si="3"/>
        <v>309.12576999999999</v>
      </c>
      <c r="AE6" s="2">
        <v>-6</v>
      </c>
      <c r="AF6">
        <v>0.28188999999999997</v>
      </c>
      <c r="AG6" s="6">
        <v>-0.29408719999999899</v>
      </c>
      <c r="AH6">
        <v>-0.39914937403581002</v>
      </c>
      <c r="AI6">
        <f t="shared" si="4"/>
        <v>-0.06</v>
      </c>
      <c r="AJ6" s="9">
        <f>AH42+(AI4-AG42)*(AH43-AH42)/(AG43-AG42)</f>
        <v>0.25174388344600912</v>
      </c>
      <c r="AK6">
        <v>0.28188999999999997</v>
      </c>
    </row>
    <row r="7" spans="1:37">
      <c r="A7">
        <v>12.789674341497401</v>
      </c>
      <c r="B7">
        <v>2.372E-3</v>
      </c>
      <c r="C7">
        <v>2.4004283789714601E-2</v>
      </c>
      <c r="D7">
        <v>301.41988399872503</v>
      </c>
      <c r="E7">
        <v>0.30499999999999899</v>
      </c>
      <c r="F7">
        <v>2.372E-3</v>
      </c>
      <c r="G7">
        <v>0.16700000000000001</v>
      </c>
      <c r="I7" s="2"/>
      <c r="J7">
        <v>9.7000000000000003E-2</v>
      </c>
      <c r="K7">
        <v>0.31472699999999998</v>
      </c>
      <c r="L7">
        <v>0.50739999999999996</v>
      </c>
      <c r="M7">
        <v>0.59648999999999996</v>
      </c>
      <c r="N7">
        <v>16.017379999999999</v>
      </c>
      <c r="O7">
        <v>5.7973299999999997</v>
      </c>
      <c r="P7">
        <v>4.21258</v>
      </c>
      <c r="Q7">
        <v>7.1662299999999997</v>
      </c>
      <c r="R7">
        <v>36.003999999999998</v>
      </c>
      <c r="S7" s="2">
        <f t="shared" si="0"/>
        <v>6.7000000000000002E-4</v>
      </c>
      <c r="T7">
        <v>6.7000000000000004E-2</v>
      </c>
      <c r="U7">
        <v>36.659599999999998</v>
      </c>
      <c r="W7">
        <v>1.1200000000000001E-3</v>
      </c>
      <c r="X7">
        <f>A4+(W7-B4)*(A5-A4)/(B5-B4)</f>
        <v>10.895590260823276</v>
      </c>
      <c r="Y7">
        <f t="shared" si="1"/>
        <v>5.7973299999999997</v>
      </c>
      <c r="Z7" s="4">
        <f>C4+(W7-B4)*(C5-C4)/(B5-B4)</f>
        <v>1.2130577179145808E-2</v>
      </c>
      <c r="AA7">
        <f t="shared" si="2"/>
        <v>4.21258</v>
      </c>
      <c r="AB7">
        <f>D4+(W7-B4)*(D5-D4)/(B5-B4)</f>
        <v>302.66300740460565</v>
      </c>
      <c r="AC7">
        <f t="shared" si="3"/>
        <v>308.78263750000002</v>
      </c>
      <c r="AE7" s="2">
        <v>-5</v>
      </c>
      <c r="AF7">
        <v>0.29159000000000002</v>
      </c>
      <c r="AG7" s="6">
        <v>-0.28769400000000001</v>
      </c>
      <c r="AH7">
        <v>-0.347727306901218</v>
      </c>
      <c r="AI7">
        <f t="shared" si="4"/>
        <v>-0.05</v>
      </c>
      <c r="AJ7" s="9">
        <f>AH44</f>
        <v>0.276595195533125</v>
      </c>
      <c r="AK7">
        <v>0.29159000000000002</v>
      </c>
    </row>
    <row r="8" spans="1:37">
      <c r="A8">
        <v>12.789674341497401</v>
      </c>
      <c r="B8">
        <v>2.9650000000000002E-3</v>
      </c>
      <c r="C8">
        <v>2.4004283789714601E-2</v>
      </c>
      <c r="D8">
        <v>301.41988399872503</v>
      </c>
      <c r="E8">
        <v>0.30499999999999899</v>
      </c>
      <c r="F8">
        <v>2.9650000000000002E-3</v>
      </c>
      <c r="G8">
        <v>0.16700000000000001</v>
      </c>
      <c r="I8" s="2"/>
      <c r="J8">
        <v>0.121</v>
      </c>
      <c r="K8">
        <v>0.31472699999999998</v>
      </c>
      <c r="L8">
        <v>0.50739999999999996</v>
      </c>
      <c r="M8">
        <v>0.59648999999999996</v>
      </c>
      <c r="N8">
        <v>16.01923</v>
      </c>
      <c r="O8">
        <v>6.0416999999999996</v>
      </c>
      <c r="P8">
        <v>4.2331099999999999</v>
      </c>
      <c r="Q8">
        <v>7.3770899999999999</v>
      </c>
      <c r="R8">
        <v>35.017000000000003</v>
      </c>
      <c r="S8" s="2">
        <f t="shared" si="0"/>
        <v>8.3000000000000001E-4</v>
      </c>
      <c r="T8">
        <v>8.3000000000000004E-2</v>
      </c>
      <c r="U8">
        <v>36.2956</v>
      </c>
      <c r="W8">
        <v>1.3500000000000001E-3</v>
      </c>
      <c r="X8">
        <f>A5+(W8-B5)*(A6-A5)/(B6-B5)</f>
        <v>11.187708550677</v>
      </c>
      <c r="Y8">
        <f t="shared" si="1"/>
        <v>6.0416999999999996</v>
      </c>
      <c r="Z8" s="4">
        <f>C5+(W8-B5)*(C6-C5)/(B6-B5)</f>
        <v>1.31931755035252E-2</v>
      </c>
      <c r="AA8">
        <f t="shared" si="2"/>
        <v>4.2331099999999999</v>
      </c>
      <c r="AB8">
        <f>D5+(W8-B5)*(D6-D5)/(B6-B5)</f>
        <v>302.43908601663901</v>
      </c>
      <c r="AC8">
        <f t="shared" si="3"/>
        <v>308.45603333333332</v>
      </c>
      <c r="AE8" s="2">
        <v>-4</v>
      </c>
      <c r="AF8">
        <v>0.30005999999999999</v>
      </c>
      <c r="AG8" s="6">
        <v>-0.28130080000000002</v>
      </c>
      <c r="AH8">
        <v>-0.347727306901218</v>
      </c>
      <c r="AI8">
        <f t="shared" si="4"/>
        <v>-0.04</v>
      </c>
      <c r="AJ8" s="9">
        <f>AH45+(AI8-AG45)*(AH46-AH45)/(AG46-AG45)</f>
        <v>0.26777578555787507</v>
      </c>
      <c r="AK8">
        <v>0.30005999999999999</v>
      </c>
    </row>
    <row r="9" spans="1:37">
      <c r="A9">
        <v>12.789674341497401</v>
      </c>
      <c r="B9">
        <v>3.558E-3</v>
      </c>
      <c r="C9">
        <v>2.4004283789714601E-2</v>
      </c>
      <c r="D9">
        <v>301.41988399872503</v>
      </c>
      <c r="E9">
        <v>0.30499999999999899</v>
      </c>
      <c r="F9">
        <v>3.558E-3</v>
      </c>
      <c r="G9">
        <v>0.16700000000000001</v>
      </c>
      <c r="I9" s="2"/>
      <c r="J9">
        <v>0.15</v>
      </c>
      <c r="K9">
        <v>0.31472699999999998</v>
      </c>
      <c r="L9">
        <v>0.50739999999999996</v>
      </c>
      <c r="M9">
        <v>0.59648999999999996</v>
      </c>
      <c r="N9">
        <v>16.01416</v>
      </c>
      <c r="O9">
        <v>6.3067399999999996</v>
      </c>
      <c r="P9">
        <v>4.2557400000000003</v>
      </c>
      <c r="Q9">
        <v>7.6082999999999998</v>
      </c>
      <c r="R9">
        <v>34.011000000000003</v>
      </c>
      <c r="S9" s="2">
        <f t="shared" si="0"/>
        <v>1.0299999999999999E-3</v>
      </c>
      <c r="T9">
        <v>0.10299999999999999</v>
      </c>
      <c r="U9">
        <v>35.918199999999999</v>
      </c>
      <c r="W9">
        <v>1.65E-3</v>
      </c>
      <c r="X9">
        <f>A5+(W9-B5)*(A6-A5)/(B6-B5)</f>
        <v>11.187708550677</v>
      </c>
      <c r="Y9">
        <f t="shared" si="1"/>
        <v>6.3067399999999996</v>
      </c>
      <c r="Z9" s="4">
        <f>C5+(W9-B5)*(C6-C5)/(B6-B5)</f>
        <v>1.31931755035252E-2</v>
      </c>
      <c r="AA9">
        <f t="shared" si="2"/>
        <v>4.2557400000000003</v>
      </c>
      <c r="AB9">
        <f>D5+(W9-B5)*(D6-D5)/(B6-B5)</f>
        <v>302.43908601663901</v>
      </c>
      <c r="AC9">
        <f t="shared" si="3"/>
        <v>308.07383157894736</v>
      </c>
      <c r="AE9" s="2">
        <v>-3</v>
      </c>
      <c r="AF9">
        <v>0.30703999999999998</v>
      </c>
      <c r="AG9" s="6">
        <v>-0.27490759999999898</v>
      </c>
      <c r="AH9">
        <v>-0.347727306901218</v>
      </c>
      <c r="AI9">
        <f>AE9/100</f>
        <v>-0.03</v>
      </c>
      <c r="AJ9" s="9">
        <f>AH47+(AI9-AG47)*(AH48-AH47)/(AG48-AG47)</f>
        <v>0.2782203236045791</v>
      </c>
      <c r="AK9">
        <v>0.30703999999999998</v>
      </c>
    </row>
    <row r="10" spans="1:37">
      <c r="A10">
        <v>14.3470780741391</v>
      </c>
      <c r="B10">
        <v>4.1510000000000002E-3</v>
      </c>
      <c r="C10">
        <v>4.3239429403983197E-2</v>
      </c>
      <c r="D10">
        <v>300.61478775219803</v>
      </c>
      <c r="E10">
        <v>0.30499999999999899</v>
      </c>
      <c r="F10">
        <v>4.1510000000000002E-3</v>
      </c>
      <c r="G10">
        <v>0.16700000000000001</v>
      </c>
      <c r="I10" s="2"/>
      <c r="J10">
        <v>0.187</v>
      </c>
      <c r="K10">
        <v>0.31472699999999998</v>
      </c>
      <c r="L10">
        <v>0.50739999999999996</v>
      </c>
      <c r="M10">
        <v>0.59648999999999996</v>
      </c>
      <c r="N10">
        <v>16.012720000000002</v>
      </c>
      <c r="O10">
        <v>6.5709200000000001</v>
      </c>
      <c r="P10">
        <v>4.2748400000000002</v>
      </c>
      <c r="Q10">
        <v>7.83908</v>
      </c>
      <c r="R10">
        <v>33.046999999999997</v>
      </c>
      <c r="S10" s="2">
        <f t="shared" si="0"/>
        <v>1.2700000000000001E-3</v>
      </c>
      <c r="T10">
        <v>0.127</v>
      </c>
      <c r="U10">
        <v>35.556699999999999</v>
      </c>
      <c r="W10">
        <v>2.0100000000000001E-3</v>
      </c>
      <c r="X10">
        <f>A6+(W10-B6)*(A7-A6)/(B7-B6)</f>
        <v>11.81174581489203</v>
      </c>
      <c r="Y10">
        <f t="shared" si="1"/>
        <v>6.5709200000000001</v>
      </c>
      <c r="Z10" s="4">
        <f>C6+(W10-B6)*(C7-C6)/(B7-B6)</f>
        <v>1.7404585308094765E-2</v>
      </c>
      <c r="AA10">
        <f t="shared" si="2"/>
        <v>4.2748400000000002</v>
      </c>
      <c r="AB10">
        <f>D6+(W10-B6)*(D7-D6)/(B7-B6)</f>
        <v>302.04206128453421</v>
      </c>
      <c r="AC10">
        <f t="shared" si="3"/>
        <v>307.61406956521739</v>
      </c>
      <c r="AE10" s="2">
        <v>-2</v>
      </c>
      <c r="AF10">
        <v>0.31231999999999999</v>
      </c>
      <c r="AG10" s="6">
        <v>-0.26851439999999899</v>
      </c>
      <c r="AH10">
        <v>-0.28377929248844402</v>
      </c>
      <c r="AI10">
        <f t="shared" si="4"/>
        <v>-0.02</v>
      </c>
      <c r="AJ10" s="9">
        <f>AH49</f>
        <v>0.30859709083160197</v>
      </c>
      <c r="AK10">
        <v>0.31231999999999999</v>
      </c>
    </row>
    <row r="11" spans="1:37">
      <c r="A11">
        <v>14.3470780741391</v>
      </c>
      <c r="B11">
        <v>4.744E-3</v>
      </c>
      <c r="C11">
        <v>4.3239429403983197E-2</v>
      </c>
      <c r="D11">
        <v>300.61478775219803</v>
      </c>
      <c r="E11">
        <v>0.30499999999999899</v>
      </c>
      <c r="F11">
        <v>4.744E-3</v>
      </c>
      <c r="G11">
        <v>0.16700000000000001</v>
      </c>
      <c r="I11" s="2"/>
      <c r="J11">
        <v>0.23200000000000001</v>
      </c>
      <c r="K11">
        <v>0.31472699999999998</v>
      </c>
      <c r="L11">
        <v>0.50739999999999996</v>
      </c>
      <c r="M11">
        <v>0.59648999999999996</v>
      </c>
      <c r="N11">
        <v>16.012920000000001</v>
      </c>
      <c r="O11">
        <v>6.8898900000000003</v>
      </c>
      <c r="P11">
        <v>4.2531499999999998</v>
      </c>
      <c r="Q11">
        <v>8.0969099999999994</v>
      </c>
      <c r="R11">
        <v>31.687000000000001</v>
      </c>
      <c r="S11" s="2">
        <f t="shared" si="0"/>
        <v>1.57E-3</v>
      </c>
      <c r="T11">
        <v>0.157</v>
      </c>
      <c r="U11">
        <v>35.179200000000002</v>
      </c>
      <c r="W11">
        <v>2.47E-3</v>
      </c>
      <c r="X11">
        <f>A7+(W11-B7)*(A8-A7)/(B8-B7)</f>
        <v>12.789674341497401</v>
      </c>
      <c r="Y11">
        <f t="shared" si="1"/>
        <v>6.8898900000000003</v>
      </c>
      <c r="Z11" s="4">
        <f>C7+(W11-B7)*(C8-C7)/(B8-B7)</f>
        <v>2.4004283789714601E-2</v>
      </c>
      <c r="AA11">
        <f t="shared" si="2"/>
        <v>4.2531499999999998</v>
      </c>
      <c r="AB11">
        <f>D7+(W11-B7)*(D8-D7)/(B8-B7)</f>
        <v>301.41988399872503</v>
      </c>
      <c r="AC11">
        <f t="shared" si="3"/>
        <v>307.14725263157897</v>
      </c>
      <c r="AE11" s="2">
        <v>-1</v>
      </c>
      <c r="AF11">
        <v>0.31662000000000001</v>
      </c>
      <c r="AG11" s="6">
        <v>-0.2621212</v>
      </c>
      <c r="AH11">
        <v>-0.28377929248844402</v>
      </c>
      <c r="AI11">
        <f t="shared" si="4"/>
        <v>-0.01</v>
      </c>
      <c r="AJ11" s="9">
        <f>AH50+(AI11-AG50)*(AH51-AH50)/(AG51-AG50)</f>
        <v>0.28352152794223101</v>
      </c>
      <c r="AK11">
        <v>0.31662000000000001</v>
      </c>
    </row>
    <row r="12" spans="1:37">
      <c r="A12">
        <v>14.3470780741391</v>
      </c>
      <c r="B12">
        <v>5.3369999999999902E-3</v>
      </c>
      <c r="C12">
        <v>4.3239429403983197E-2</v>
      </c>
      <c r="D12">
        <v>300.61478775219803</v>
      </c>
      <c r="E12">
        <v>0.30499999999999899</v>
      </c>
      <c r="F12">
        <v>5.3369999999999902E-3</v>
      </c>
      <c r="G12">
        <v>0.16700000000000001</v>
      </c>
      <c r="I12" s="2"/>
      <c r="J12">
        <v>0.28899999999999998</v>
      </c>
      <c r="K12">
        <v>0.31472699999999998</v>
      </c>
      <c r="L12">
        <v>0.50739999999999996</v>
      </c>
      <c r="M12">
        <v>0.59648999999999996</v>
      </c>
      <c r="N12">
        <v>16.013079999999999</v>
      </c>
      <c r="O12">
        <v>7.2540399999999998</v>
      </c>
      <c r="P12">
        <v>4.2708599999999999</v>
      </c>
      <c r="Q12">
        <v>8.4179099999999991</v>
      </c>
      <c r="R12">
        <v>30.488</v>
      </c>
      <c r="S12" s="2">
        <f t="shared" si="0"/>
        <v>1.9500000000000001E-3</v>
      </c>
      <c r="T12">
        <v>0.19500000000000001</v>
      </c>
      <c r="U12">
        <v>34.678699999999999</v>
      </c>
      <c r="W12">
        <v>2.8899999999999998E-3</v>
      </c>
      <c r="X12">
        <f>A7+(W12-B7)*(A8-A7)/(B8-B7)</f>
        <v>12.789674341497401</v>
      </c>
      <c r="Y12">
        <f t="shared" si="1"/>
        <v>7.2540399999999998</v>
      </c>
      <c r="Z12" s="4">
        <f>C7+(W12-B7)*(C8-C7)/(B8-B7)</f>
        <v>2.4004283789714601E-2</v>
      </c>
      <c r="AA12">
        <f t="shared" si="2"/>
        <v>4.2708599999999999</v>
      </c>
      <c r="AB12">
        <f>D7+(W12-B7)*(D8-D7)/(B8-B7)</f>
        <v>301.41988399872503</v>
      </c>
      <c r="AC12">
        <f t="shared" ref="AC12:AC17" si="5">(U13+(W12-S13)*(U14-U13)/(S14-S13))+273</f>
        <v>306.89562105263155</v>
      </c>
      <c r="AE12" s="2">
        <v>0</v>
      </c>
      <c r="AF12">
        <v>0.31685000000000002</v>
      </c>
      <c r="AG12" s="6">
        <v>-0.25572800000000001</v>
      </c>
      <c r="AH12">
        <v>-0.28377929248844402</v>
      </c>
      <c r="AI12">
        <f t="shared" si="4"/>
        <v>0</v>
      </c>
      <c r="AJ12" s="9">
        <f>AH52</f>
        <v>0.29886399343459602</v>
      </c>
      <c r="AK12">
        <v>0.31685000000000002</v>
      </c>
    </row>
    <row r="13" spans="1:37">
      <c r="A13">
        <v>15.4949679176671</v>
      </c>
      <c r="B13">
        <v>5.9300000000000004E-3</v>
      </c>
      <c r="C13">
        <v>5.7511765239925301E-2</v>
      </c>
      <c r="D13">
        <v>300.11296378506199</v>
      </c>
      <c r="E13">
        <v>0.30499999999999899</v>
      </c>
      <c r="F13">
        <v>5.9300000000000004E-3</v>
      </c>
      <c r="G13">
        <v>0.16700000000000001</v>
      </c>
      <c r="I13" s="2"/>
      <c r="J13">
        <v>0.35899999999999999</v>
      </c>
      <c r="K13">
        <v>0.31472699999999998</v>
      </c>
      <c r="L13">
        <v>0.50739999999999996</v>
      </c>
      <c r="M13">
        <v>0.59648999999999996</v>
      </c>
      <c r="N13">
        <v>16.010950000000001</v>
      </c>
      <c r="O13">
        <v>7.5582599999999998</v>
      </c>
      <c r="P13">
        <v>4.2252799999999997</v>
      </c>
      <c r="Q13">
        <v>8.6591199999999997</v>
      </c>
      <c r="R13">
        <v>29.206</v>
      </c>
      <c r="S13" s="2">
        <f t="shared" si="0"/>
        <v>2.4099999999999998E-3</v>
      </c>
      <c r="T13">
        <v>0.24099999999999999</v>
      </c>
      <c r="U13">
        <v>34.183199999999999</v>
      </c>
      <c r="W13">
        <v>3.5899999999999999E-3</v>
      </c>
      <c r="X13">
        <f>A9+(W13-B9)*(A10-A9)/(B10-B9)</f>
        <v>12.873716364169466</v>
      </c>
      <c r="Y13">
        <f t="shared" si="1"/>
        <v>7.5582599999999998</v>
      </c>
      <c r="Z13" s="4">
        <f>C9+(W13-B9)*(C10-C9)/(B10-B9)</f>
        <v>2.5042268038713913E-2</v>
      </c>
      <c r="AA13">
        <f t="shared" si="2"/>
        <v>4.2252799999999997</v>
      </c>
      <c r="AB13">
        <f>D9+(W13-B9)*(D10-D9)/(B10-B9)</f>
        <v>301.37643867007603</v>
      </c>
      <c r="AC13">
        <f t="shared" si="5"/>
        <v>306.56462253521124</v>
      </c>
      <c r="AE13" s="2">
        <v>1</v>
      </c>
      <c r="AF13">
        <v>0.31775999999999999</v>
      </c>
      <c r="AG13" s="6">
        <v>-0.2493348</v>
      </c>
      <c r="AH13">
        <v>-0.23679589716597199</v>
      </c>
      <c r="AI13">
        <f t="shared" si="4"/>
        <v>0.01</v>
      </c>
      <c r="AJ13" s="9">
        <f>AH53+(AI13-AG53)*(AH54-AH53)/(AG54-AG53)</f>
        <v>0.29886399343459602</v>
      </c>
      <c r="AK13">
        <v>0.31775999999999999</v>
      </c>
    </row>
    <row r="14" spans="1:37">
      <c r="A14">
        <v>15.4949679176671</v>
      </c>
      <c r="B14">
        <v>6.5230000000000002E-3</v>
      </c>
      <c r="C14">
        <v>5.7511765239925301E-2</v>
      </c>
      <c r="D14">
        <v>300.11296378506199</v>
      </c>
      <c r="E14">
        <v>0.30499999999999899</v>
      </c>
      <c r="F14">
        <v>6.5230000000000002E-3</v>
      </c>
      <c r="G14">
        <v>0.16700000000000001</v>
      </c>
      <c r="I14" s="2"/>
      <c r="J14">
        <v>0.44600000000000001</v>
      </c>
      <c r="K14">
        <v>0.31472699999999998</v>
      </c>
      <c r="L14">
        <v>0.50739999999999996</v>
      </c>
      <c r="M14">
        <v>0.59648999999999996</v>
      </c>
      <c r="N14">
        <v>16.006959999999999</v>
      </c>
      <c r="O14">
        <v>7.9796399999999998</v>
      </c>
      <c r="P14">
        <v>4.17936</v>
      </c>
      <c r="Q14">
        <v>9.0078600000000009</v>
      </c>
      <c r="R14">
        <v>27.643000000000001</v>
      </c>
      <c r="S14" s="2">
        <f t="shared" si="0"/>
        <v>2.98E-3</v>
      </c>
      <c r="T14">
        <v>0.29799999999999999</v>
      </c>
      <c r="U14">
        <v>33.841700000000003</v>
      </c>
      <c r="W14">
        <v>4.47E-3</v>
      </c>
      <c r="X14">
        <f>A10+(W14-B10)*(A11-A10)/(B11-B10)</f>
        <v>14.3470780741391</v>
      </c>
      <c r="Y14">
        <f t="shared" si="1"/>
        <v>7.9796399999999998</v>
      </c>
      <c r="Z14" s="4">
        <f>C10+(W14-B10)*(C11-C10)/(B11-B10)</f>
        <v>4.3239429403983197E-2</v>
      </c>
      <c r="AA14">
        <f t="shared" si="2"/>
        <v>4.17936</v>
      </c>
      <c r="AB14">
        <f>D10+(W14-B10)*(D11-D10)/(B11-B10)</f>
        <v>300.61478775219803</v>
      </c>
      <c r="AC14">
        <f t="shared" si="5"/>
        <v>306.12677931034483</v>
      </c>
      <c r="AE14" s="2">
        <v>2</v>
      </c>
      <c r="AF14">
        <v>0.31574999999999998</v>
      </c>
      <c r="AG14" s="6">
        <v>-0.24294160000000001</v>
      </c>
      <c r="AH14">
        <v>-0.19092657641829999</v>
      </c>
      <c r="AI14">
        <f t="shared" si="4"/>
        <v>0.02</v>
      </c>
      <c r="AJ14" s="9">
        <f>AH49</f>
        <v>0.30859709083160197</v>
      </c>
      <c r="AK14">
        <v>0.31574999999999998</v>
      </c>
    </row>
    <row r="15" spans="1:37">
      <c r="A15">
        <v>15.4949679176671</v>
      </c>
      <c r="B15">
        <v>7.1159999999999904E-3</v>
      </c>
      <c r="C15">
        <v>5.7511765239925301E-2</v>
      </c>
      <c r="D15">
        <v>300.11296378506199</v>
      </c>
      <c r="E15">
        <v>0.30499999999999899</v>
      </c>
      <c r="F15">
        <v>7.1159999999999904E-3</v>
      </c>
      <c r="G15">
        <v>0.16700000000000001</v>
      </c>
      <c r="I15" s="2"/>
      <c r="J15">
        <v>0.55500000000000005</v>
      </c>
      <c r="K15">
        <v>0.31472699999999998</v>
      </c>
      <c r="L15">
        <v>0.50739999999999996</v>
      </c>
      <c r="M15">
        <v>0.59648999999999996</v>
      </c>
      <c r="N15">
        <v>16.006239999999998</v>
      </c>
      <c r="O15">
        <v>8.4486899999999991</v>
      </c>
      <c r="P15">
        <v>4.11965</v>
      </c>
      <c r="Q15">
        <v>9.3995599999999992</v>
      </c>
      <c r="R15">
        <v>25.994</v>
      </c>
      <c r="S15" s="2">
        <f t="shared" si="0"/>
        <v>3.6900000000000001E-3</v>
      </c>
      <c r="T15">
        <v>0.36899999999999999</v>
      </c>
      <c r="U15">
        <v>33.519199999999998</v>
      </c>
      <c r="W15">
        <v>5.5500000000000002E-3</v>
      </c>
      <c r="X15">
        <f>A12+(W15-B12)*(A13-A12)/(B13-B12)</f>
        <v>14.759389265827922</v>
      </c>
      <c r="Y15">
        <f t="shared" si="1"/>
        <v>8.4486899999999991</v>
      </c>
      <c r="Z15" s="4">
        <f>C12+(W15-B12)*(C13-C12)/(B13-B12)</f>
        <v>4.8365917655341983E-2</v>
      </c>
      <c r="AA15">
        <f t="shared" si="2"/>
        <v>4.11965</v>
      </c>
      <c r="AB15">
        <f>D12+(W15-B12)*(D13-D12)/(B13-B12)</f>
        <v>300.4345373221812</v>
      </c>
      <c r="AC15">
        <f t="shared" si="5"/>
        <v>305.625</v>
      </c>
      <c r="AE15" s="2">
        <v>3</v>
      </c>
      <c r="AF15">
        <v>0.31006</v>
      </c>
      <c r="AG15" s="6">
        <v>-0.23654839999999899</v>
      </c>
      <c r="AH15">
        <v>-0.19092657641829999</v>
      </c>
      <c r="AI15">
        <f t="shared" si="4"/>
        <v>0.03</v>
      </c>
      <c r="AJ15" s="9">
        <f>AH56+(AI15-AG56)*(AH57-AH56)/(AG57-AG56)</f>
        <v>0.28183960545877501</v>
      </c>
      <c r="AK15">
        <v>0.31006</v>
      </c>
    </row>
    <row r="16" spans="1:37">
      <c r="A16">
        <v>15.7762136334138</v>
      </c>
      <c r="B16">
        <v>7.7089999999999902E-3</v>
      </c>
      <c r="C16">
        <v>6.4902598143090198E-2</v>
      </c>
      <c r="D16">
        <v>300.007928006501</v>
      </c>
      <c r="E16">
        <v>0.30499999999999899</v>
      </c>
      <c r="F16">
        <v>7.7089999999999902E-3</v>
      </c>
      <c r="G16">
        <v>0.16700000000000001</v>
      </c>
      <c r="I16" s="2"/>
      <c r="J16">
        <v>0.69099999999999995</v>
      </c>
      <c r="K16">
        <v>0.31472699999999998</v>
      </c>
      <c r="L16">
        <v>0.50739999999999996</v>
      </c>
      <c r="M16">
        <v>0.59648999999999996</v>
      </c>
      <c r="N16">
        <v>16.00376</v>
      </c>
      <c r="O16">
        <v>8.94801</v>
      </c>
      <c r="P16">
        <v>4.02339</v>
      </c>
      <c r="Q16">
        <v>9.8109400000000004</v>
      </c>
      <c r="R16">
        <v>24.210999999999999</v>
      </c>
      <c r="S16" s="2">
        <f t="shared" si="0"/>
        <v>4.5599999999999998E-3</v>
      </c>
      <c r="T16">
        <v>0.45600000000000002</v>
      </c>
      <c r="U16">
        <v>33.081499999999998</v>
      </c>
      <c r="W16">
        <v>6.9099999999999995E-3</v>
      </c>
      <c r="X16">
        <f>A14+(W16-B14)*(A15-A14)/(B15-B14)</f>
        <v>15.4949679176671</v>
      </c>
      <c r="Y16">
        <f t="shared" si="1"/>
        <v>8.94801</v>
      </c>
      <c r="Z16" s="4">
        <f>C14+(W16-B14)*(C15-C14)/(B15-B14)</f>
        <v>5.7511765239925301E-2</v>
      </c>
      <c r="AA16">
        <f t="shared" si="2"/>
        <v>4.02339</v>
      </c>
      <c r="AB16">
        <f>D14+(W16-B14)*(D15-D14)/(B15-B14)</f>
        <v>300.11296378506199</v>
      </c>
      <c r="AC16">
        <f t="shared" si="5"/>
        <v>305.11160970149251</v>
      </c>
      <c r="AE16" s="2">
        <v>4</v>
      </c>
      <c r="AF16">
        <v>0.30473</v>
      </c>
      <c r="AG16" s="6">
        <v>-0.2301552</v>
      </c>
      <c r="AH16">
        <v>-0.14689089658580001</v>
      </c>
      <c r="AI16">
        <f t="shared" si="4"/>
        <v>0.04</v>
      </c>
      <c r="AJ16" s="9">
        <f>AH58+(AI16-AG58)*(AH59-AH58)/(AG59-AG58)</f>
        <v>0.28637763751283402</v>
      </c>
      <c r="AK16">
        <v>0.30473</v>
      </c>
    </row>
    <row r="17" spans="1:37">
      <c r="A17">
        <v>15.7762136334138</v>
      </c>
      <c r="B17">
        <v>8.3020000000000004E-3</v>
      </c>
      <c r="C17">
        <v>6.4902598143090198E-2</v>
      </c>
      <c r="D17">
        <v>300.007928006501</v>
      </c>
      <c r="E17">
        <v>0.30499999999999899</v>
      </c>
      <c r="F17">
        <v>8.3020000000000004E-3</v>
      </c>
      <c r="G17">
        <v>0.16700000000000001</v>
      </c>
      <c r="I17" s="2"/>
      <c r="J17">
        <v>0.85899999999999999</v>
      </c>
      <c r="K17">
        <v>0.31472699999999998</v>
      </c>
      <c r="L17">
        <v>0.50739999999999996</v>
      </c>
      <c r="M17">
        <v>0.59648999999999996</v>
      </c>
      <c r="N17">
        <v>16.004439999999999</v>
      </c>
      <c r="O17">
        <v>9.5439699999999998</v>
      </c>
      <c r="P17">
        <v>3.9238300000000002</v>
      </c>
      <c r="Q17">
        <v>10.31911</v>
      </c>
      <c r="R17">
        <v>22.349</v>
      </c>
      <c r="S17" s="2">
        <f t="shared" si="0"/>
        <v>5.6399999999999992E-3</v>
      </c>
      <c r="T17">
        <v>0.56399999999999995</v>
      </c>
      <c r="U17">
        <v>32.583500000000001</v>
      </c>
      <c r="W17">
        <v>8.5900000000000004E-3</v>
      </c>
      <c r="X17">
        <f>A17+(W17-B17)*(A18-A17)/(B18-B17)</f>
        <v>15.7762136334138</v>
      </c>
      <c r="Y17">
        <f t="shared" si="1"/>
        <v>9.5439699999999998</v>
      </c>
      <c r="Z17" s="4">
        <f>C17+(W17-B17)*(C18-C17)/(B18-B17)</f>
        <v>6.4902598143090198E-2</v>
      </c>
      <c r="AA17">
        <f t="shared" si="2"/>
        <v>3.9238300000000002</v>
      </c>
      <c r="AB17">
        <f>D17+(W17-B17)*(D18-D17)/(B18-B17)</f>
        <v>300.007928006501</v>
      </c>
      <c r="AC17">
        <f t="shared" si="5"/>
        <v>304.56600909090912</v>
      </c>
      <c r="AE17" s="2">
        <v>5</v>
      </c>
      <c r="AF17">
        <v>0.29798999999999998</v>
      </c>
      <c r="AG17" s="6">
        <v>-0.22376199999999999</v>
      </c>
      <c r="AH17">
        <v>-0.14689089658580001</v>
      </c>
      <c r="AI17">
        <f t="shared" si="4"/>
        <v>0.05</v>
      </c>
      <c r="AJ17" s="9">
        <f>AH60</f>
        <v>0.25916222226008101</v>
      </c>
      <c r="AK17">
        <v>0.29798999999999998</v>
      </c>
    </row>
    <row r="18" spans="1:37">
      <c r="A18">
        <v>15.7762136334138</v>
      </c>
      <c r="B18">
        <v>8.8950000000000001E-3</v>
      </c>
      <c r="C18">
        <v>6.4902598143090198E-2</v>
      </c>
      <c r="D18">
        <v>300.007928006501</v>
      </c>
      <c r="E18">
        <v>0.30499999999999899</v>
      </c>
      <c r="F18">
        <v>8.8950000000000001E-3</v>
      </c>
      <c r="G18">
        <v>0.16700000000000001</v>
      </c>
      <c r="I18" s="2"/>
      <c r="J18">
        <v>1.0680000000000001</v>
      </c>
      <c r="K18">
        <v>0.31472699999999998</v>
      </c>
      <c r="L18">
        <v>0.50739999999999996</v>
      </c>
      <c r="M18">
        <v>0.59648999999999996</v>
      </c>
      <c r="N18">
        <v>16.004449999999999</v>
      </c>
      <c r="O18">
        <v>10.14723</v>
      </c>
      <c r="P18">
        <v>3.7691699999999999</v>
      </c>
      <c r="Q18">
        <v>10.82464</v>
      </c>
      <c r="R18">
        <v>20.376999999999999</v>
      </c>
      <c r="S18" s="2">
        <f t="shared" si="0"/>
        <v>6.9799999999999992E-3</v>
      </c>
      <c r="T18">
        <v>0.69799999999999995</v>
      </c>
      <c r="U18">
        <v>32.085599999999999</v>
      </c>
      <c r="W18">
        <v>1.068E-2</v>
      </c>
      <c r="X18">
        <f>A21+(W18-B21)*(A22-A21)/(B22-B21)</f>
        <v>15.715231082935899</v>
      </c>
      <c r="Y18">
        <f t="shared" si="1"/>
        <v>10.14723</v>
      </c>
      <c r="Z18" s="4">
        <f>C21+(W18-B21)*(C22-C21)/(B22-B21)</f>
        <v>5.6835275794060197E-2</v>
      </c>
      <c r="AA18">
        <f t="shared" si="2"/>
        <v>3.7691699999999999</v>
      </c>
      <c r="AB18">
        <f>D21+(W18-B21)*(D22-D21)/(B22-B21)</f>
        <v>300.00529535821403</v>
      </c>
      <c r="AC18">
        <f>U20+273</f>
        <v>304.10070000000002</v>
      </c>
      <c r="AE18" s="2">
        <v>6</v>
      </c>
      <c r="AF18">
        <v>0.28905999999999998</v>
      </c>
      <c r="AG18" s="6">
        <v>-0.2173688</v>
      </c>
      <c r="AH18">
        <v>-0.103862284379323</v>
      </c>
      <c r="AI18">
        <f t="shared" si="4"/>
        <v>0.06</v>
      </c>
      <c r="AJ18" s="9">
        <f>AH61+(AI18-AG61)*(AH62-AH61)/(AG62-AG61)</f>
        <v>0.25916222226008101</v>
      </c>
      <c r="AK18">
        <v>0.28905999999999998</v>
      </c>
    </row>
    <row r="19" spans="1:37">
      <c r="A19">
        <v>15.7762136334138</v>
      </c>
      <c r="B19">
        <v>9.4879999999999895E-3</v>
      </c>
      <c r="C19">
        <v>6.4902598143090198E-2</v>
      </c>
      <c r="D19">
        <v>300.007928006501</v>
      </c>
      <c r="E19">
        <v>0.30499999999999899</v>
      </c>
      <c r="F19">
        <v>9.4879999999999895E-3</v>
      </c>
      <c r="G19">
        <v>0.16700000000000001</v>
      </c>
      <c r="I19" s="2"/>
      <c r="J19">
        <v>1.3280000000000001</v>
      </c>
      <c r="K19">
        <v>0.31472699999999998</v>
      </c>
      <c r="L19">
        <v>0.50739999999999996</v>
      </c>
      <c r="M19">
        <v>0.59648999999999996</v>
      </c>
      <c r="N19">
        <v>16.003299999999999</v>
      </c>
      <c r="O19">
        <v>10.888299999999999</v>
      </c>
      <c r="P19">
        <v>3.6269800000000001</v>
      </c>
      <c r="Q19">
        <v>11.4765</v>
      </c>
      <c r="R19">
        <v>18.422999999999998</v>
      </c>
      <c r="S19" s="2">
        <f>T19/100</f>
        <v>8.6300000000000005E-3</v>
      </c>
      <c r="T19">
        <v>0.86299999999999999</v>
      </c>
      <c r="U19">
        <v>31.553100000000001</v>
      </c>
      <c r="W19">
        <v>1.328E-2</v>
      </c>
      <c r="X19">
        <f>A25+(W19-B25)*(A26-A25)/(B26-B25)</f>
        <v>15.738734100413955</v>
      </c>
      <c r="Y19">
        <f t="shared" si="1"/>
        <v>10.888299999999999</v>
      </c>
      <c r="Z19" s="4">
        <f>C25+(W19-B25)*(C26-C25)/(B26-B25)</f>
        <v>5.1285425654079335E-2</v>
      </c>
      <c r="AA19">
        <f t="shared" si="2"/>
        <v>3.6269800000000001</v>
      </c>
      <c r="AB19">
        <f>D25+(W19-B25)*(D26-D25)/(B26-B25)</f>
        <v>300.00517041222787</v>
      </c>
      <c r="AC19">
        <f>(U21+(W19-S21)*(U22-U21)/(S22-S21))+273</f>
        <v>303.45893581267217</v>
      </c>
      <c r="AE19" s="2">
        <v>7</v>
      </c>
      <c r="AF19">
        <v>0.27917999999999998</v>
      </c>
      <c r="AG19" s="6">
        <v>-0.21097559999999899</v>
      </c>
      <c r="AH19">
        <v>-0.103862284379323</v>
      </c>
      <c r="AI19">
        <f t="shared" si="4"/>
        <v>7.0000000000000007E-2</v>
      </c>
      <c r="AJ19" s="9">
        <f>AH63</f>
        <v>0.25997116629672001</v>
      </c>
      <c r="AK19">
        <v>0.27917999999999998</v>
      </c>
    </row>
    <row r="20" spans="1:37">
      <c r="A20">
        <v>15.715231082935899</v>
      </c>
      <c r="B20">
        <v>1.0081E-2</v>
      </c>
      <c r="C20">
        <v>5.6835275794060197E-2</v>
      </c>
      <c r="D20">
        <v>300.00529535821403</v>
      </c>
      <c r="E20">
        <v>0.30499999999999899</v>
      </c>
      <c r="F20">
        <v>1.0081E-2</v>
      </c>
      <c r="G20">
        <v>0.16700000000000001</v>
      </c>
      <c r="I20" s="2"/>
      <c r="J20">
        <v>1.651</v>
      </c>
      <c r="K20">
        <v>0.31472699999999998</v>
      </c>
      <c r="L20">
        <v>0.50739999999999996</v>
      </c>
      <c r="M20">
        <v>0.59648999999999996</v>
      </c>
      <c r="N20">
        <v>15.996829999999999</v>
      </c>
      <c r="O20">
        <v>11.649559999999999</v>
      </c>
      <c r="P20">
        <v>3.4498099999999998</v>
      </c>
      <c r="Q20">
        <v>12.14963</v>
      </c>
      <c r="R20">
        <v>16.495999999999999</v>
      </c>
      <c r="S20" s="2">
        <f t="shared" si="0"/>
        <v>1.068E-2</v>
      </c>
      <c r="T20">
        <v>1.0680000000000001</v>
      </c>
      <c r="U20">
        <v>31.1007</v>
      </c>
      <c r="W20">
        <v>1.651E-2</v>
      </c>
      <c r="X20" s="4">
        <f>A30+(W20-B30)*(A31-A30)/(B31-B30)</f>
        <v>15.7747921485961</v>
      </c>
      <c r="Y20">
        <f t="shared" si="1"/>
        <v>11.649559999999999</v>
      </c>
      <c r="Z20" s="4">
        <f>C30+(W20-B30)*(C31-C30)/(B31-B30)</f>
        <v>4.2770911977783897E-2</v>
      </c>
      <c r="AA20">
        <f t="shared" si="2"/>
        <v>3.4498099999999998</v>
      </c>
      <c r="AB20">
        <f>D30+(W20-B30)*(D31-D30)/(B31-B30)</f>
        <v>300.00497872159099</v>
      </c>
      <c r="AC20">
        <f>(U21+(W20-S21)*(U23-U21)/(S23-S21))+273</f>
        <v>302.96158000000003</v>
      </c>
      <c r="AE20" s="2">
        <v>8</v>
      </c>
      <c r="AF20">
        <v>0.26522000000000001</v>
      </c>
      <c r="AG20" s="6">
        <v>-0.2045824</v>
      </c>
      <c r="AH20">
        <v>-0.103862284379323</v>
      </c>
      <c r="AI20">
        <f t="shared" si="4"/>
        <v>0.08</v>
      </c>
      <c r="AJ20" s="9">
        <f>AH64+(AI20-AG64)*(AH65-AH64)/(AG65-AG64)</f>
        <v>0.234197629672175</v>
      </c>
      <c r="AK20">
        <v>0.26522000000000001</v>
      </c>
    </row>
    <row r="21" spans="1:37">
      <c r="A21">
        <v>15.715231082935899</v>
      </c>
      <c r="B21">
        <v>1.0673999999999901E-2</v>
      </c>
      <c r="C21">
        <v>5.6835275794060197E-2</v>
      </c>
      <c r="D21">
        <v>300.00529535821403</v>
      </c>
      <c r="E21">
        <v>0.30499999999999899</v>
      </c>
      <c r="F21">
        <v>1.0673999999999901E-2</v>
      </c>
      <c r="G21">
        <v>0.16700000000000001</v>
      </c>
      <c r="I21" s="2"/>
      <c r="J21">
        <v>2.0529999999999999</v>
      </c>
      <c r="K21">
        <v>0.31472699999999998</v>
      </c>
      <c r="L21">
        <v>0.50739999999999996</v>
      </c>
      <c r="M21">
        <v>0.59648999999999996</v>
      </c>
      <c r="N21">
        <v>15.995430000000001</v>
      </c>
      <c r="O21">
        <v>12.490830000000001</v>
      </c>
      <c r="P21">
        <v>3.2746499999999998</v>
      </c>
      <c r="Q21">
        <v>12.912940000000001</v>
      </c>
      <c r="R21">
        <v>14.69</v>
      </c>
      <c r="S21" s="2">
        <f t="shared" si="0"/>
        <v>1.321E-2</v>
      </c>
      <c r="T21">
        <v>1.321</v>
      </c>
      <c r="U21">
        <v>30.4711</v>
      </c>
      <c r="W21">
        <v>2.053E-2</v>
      </c>
      <c r="X21" s="4">
        <f>A37+(W21-B37)*(A38-A37)/(B38-B37)</f>
        <v>15.7747921485961</v>
      </c>
      <c r="Y21">
        <f t="shared" si="1"/>
        <v>12.490830000000001</v>
      </c>
      <c r="Z21" s="4">
        <f>C37+(W21-B37)*(C38-C37)/(B38-B37)</f>
        <v>4.2770911977783897E-2</v>
      </c>
      <c r="AA21">
        <f t="shared" si="2"/>
        <v>3.2746499999999998</v>
      </c>
      <c r="AB21">
        <f>D37+(W21-B37)*(D38-D37)/(B38-B37)</f>
        <v>300.00497872159099</v>
      </c>
      <c r="AC21">
        <f>(U23+(W21-S23)*(U24-U23)/(S24-S23))+273</f>
        <v>302.35760521920668</v>
      </c>
      <c r="AE21" s="2">
        <v>9</v>
      </c>
      <c r="AF21">
        <v>0.25381999999999999</v>
      </c>
      <c r="AG21" s="6">
        <v>-0.19818920000000001</v>
      </c>
      <c r="AH21">
        <v>-5.8596486965325899E-2</v>
      </c>
      <c r="AI21">
        <f t="shared" si="4"/>
        <v>0.09</v>
      </c>
      <c r="AJ21" s="9">
        <f>AH66</f>
        <v>0.19635649331926899</v>
      </c>
      <c r="AK21">
        <v>0.25381999999999999</v>
      </c>
    </row>
    <row r="22" spans="1:37">
      <c r="A22">
        <v>15.715231082935899</v>
      </c>
      <c r="B22">
        <v>1.12669999999999E-2</v>
      </c>
      <c r="C22">
        <v>5.6835275794060197E-2</v>
      </c>
      <c r="D22">
        <v>300.00529535821403</v>
      </c>
      <c r="E22">
        <v>0.30499999999999899</v>
      </c>
      <c r="F22">
        <v>1.12669999999999E-2</v>
      </c>
      <c r="G22">
        <v>0.16700000000000001</v>
      </c>
      <c r="I22" s="2"/>
      <c r="J22">
        <v>2.5529999999999999</v>
      </c>
      <c r="K22">
        <v>0.31472699999999998</v>
      </c>
      <c r="L22">
        <v>0.50739999999999996</v>
      </c>
      <c r="M22">
        <v>0.59648999999999996</v>
      </c>
      <c r="N22">
        <v>15.993550000000001</v>
      </c>
      <c r="O22">
        <v>13.37989</v>
      </c>
      <c r="P22">
        <v>3.1196199999999998</v>
      </c>
      <c r="Q22">
        <v>13.738759999999999</v>
      </c>
      <c r="R22">
        <v>13.124000000000001</v>
      </c>
      <c r="S22" s="2">
        <f t="shared" si="0"/>
        <v>1.6840000000000001E-2</v>
      </c>
      <c r="T22">
        <v>1.6839999999999999</v>
      </c>
      <c r="U22">
        <v>29.840299999999999</v>
      </c>
      <c r="W22">
        <v>2.5530000000000001E-2</v>
      </c>
      <c r="X22" s="4">
        <f>A46+(W22-B46)*(A47-A46)/(B47-B46)</f>
        <v>15.766487623432047</v>
      </c>
      <c r="Y22">
        <f t="shared" si="1"/>
        <v>13.37989</v>
      </c>
      <c r="Z22" s="4">
        <f>C46+(W22-B46)*(C47-C46)/(B47-B46)</f>
        <v>4.2394613664683327E-2</v>
      </c>
      <c r="AA22">
        <f t="shared" si="2"/>
        <v>3.1196199999999998</v>
      </c>
      <c r="AB22">
        <f>D46+(W22-B46)*(D47-D46)/(B47-B46)</f>
        <v>300.00508298908187</v>
      </c>
      <c r="AC22">
        <f>(U24+(W22-S24)*(U25-U24)/(S25-S24))+273</f>
        <v>301.85880739999999</v>
      </c>
      <c r="AE22" s="2">
        <v>10</v>
      </c>
      <c r="AF22">
        <v>0.24</v>
      </c>
      <c r="AG22" s="6">
        <v>-0.191795999999999</v>
      </c>
      <c r="AH22">
        <v>-5.8596486965325899E-2</v>
      </c>
      <c r="AI22">
        <f t="shared" si="4"/>
        <v>0.1</v>
      </c>
      <c r="AJ22" s="9">
        <f>AH67+(AI22-AG67)*(AH68-AH67)/(AG68-AG67)</f>
        <v>0.19756161514376122</v>
      </c>
      <c r="AK22">
        <v>0.24</v>
      </c>
    </row>
    <row r="23" spans="1:37">
      <c r="A23">
        <v>15.715231082935899</v>
      </c>
      <c r="B23">
        <v>1.1860000000000001E-2</v>
      </c>
      <c r="C23">
        <v>5.6835275794060197E-2</v>
      </c>
      <c r="D23">
        <v>300.00529535821403</v>
      </c>
      <c r="E23">
        <v>0.30499999999999899</v>
      </c>
      <c r="F23">
        <v>1.1860000000000001E-2</v>
      </c>
      <c r="G23">
        <v>0.16700000000000001</v>
      </c>
      <c r="I23" s="2"/>
      <c r="J23">
        <v>3.1749999999999998</v>
      </c>
      <c r="K23">
        <v>0.31472699999999998</v>
      </c>
      <c r="L23">
        <v>0.50739999999999996</v>
      </c>
      <c r="M23">
        <v>0.59648999999999996</v>
      </c>
      <c r="N23">
        <v>15.993</v>
      </c>
      <c r="O23">
        <v>14.21203</v>
      </c>
      <c r="P23">
        <v>2.9931800000000002</v>
      </c>
      <c r="Q23">
        <v>14.523809999999999</v>
      </c>
      <c r="R23">
        <v>11.893000000000001</v>
      </c>
      <c r="S23" s="2">
        <f t="shared" si="0"/>
        <v>2.0209999999999999E-2</v>
      </c>
      <c r="T23">
        <v>2.0209999999999999</v>
      </c>
      <c r="U23">
        <v>29.3903</v>
      </c>
      <c r="W23">
        <v>3.175E-2</v>
      </c>
      <c r="X23" s="4">
        <f>A56+(W23-B56)*(A57-A56)/(B57-B56)</f>
        <v>15.6159346188455</v>
      </c>
      <c r="Y23">
        <f t="shared" si="1"/>
        <v>14.21203</v>
      </c>
      <c r="Z23" s="4">
        <f>C56+(W23-B56)*(C57-C56)/(B57-B56)</f>
        <v>3.5572689407849897E-2</v>
      </c>
      <c r="AA23">
        <f t="shared" si="2"/>
        <v>2.9931800000000002</v>
      </c>
      <c r="AB23">
        <f>D56+(W23-B56)*(D57-D56)/(B57-B56)</f>
        <v>300.00697325778702</v>
      </c>
      <c r="AC23">
        <f>(U25+(W23-S25)*(U26-U25)/(S26-S25))+273</f>
        <v>301.41651000000002</v>
      </c>
      <c r="AE23" s="2">
        <v>11</v>
      </c>
      <c r="AF23">
        <v>0.22547</v>
      </c>
      <c r="AG23" s="6">
        <v>-0.18540280000000001</v>
      </c>
      <c r="AH23">
        <v>-1.8582239883541199E-2</v>
      </c>
      <c r="AI23">
        <f t="shared" si="4"/>
        <v>0.11</v>
      </c>
      <c r="AJ23" s="9">
        <f>AH69</f>
        <v>0.15308400361086699</v>
      </c>
      <c r="AK23">
        <v>0.22547</v>
      </c>
    </row>
    <row r="24" spans="1:37">
      <c r="A24">
        <v>15.715231082935899</v>
      </c>
      <c r="B24">
        <v>1.24529999999999E-2</v>
      </c>
      <c r="C24">
        <v>5.6835275794060197E-2</v>
      </c>
      <c r="D24">
        <v>300.00529535821403</v>
      </c>
      <c r="E24">
        <v>0.30499999999999899</v>
      </c>
      <c r="F24">
        <v>1.24529999999999E-2</v>
      </c>
      <c r="G24">
        <v>0.16700000000000001</v>
      </c>
      <c r="I24" s="2"/>
      <c r="J24">
        <v>3.948</v>
      </c>
      <c r="K24">
        <v>0.31472699999999998</v>
      </c>
      <c r="L24">
        <v>0.50739999999999996</v>
      </c>
      <c r="M24">
        <v>0.59648999999999996</v>
      </c>
      <c r="N24">
        <v>15.99272</v>
      </c>
      <c r="O24">
        <v>14.69909</v>
      </c>
      <c r="P24">
        <v>2.9221200000000001</v>
      </c>
      <c r="Q24">
        <v>14.98673</v>
      </c>
      <c r="R24">
        <v>11.244</v>
      </c>
      <c r="S24" s="2">
        <f t="shared" si="0"/>
        <v>2.5000000000000001E-2</v>
      </c>
      <c r="T24">
        <v>2.5</v>
      </c>
      <c r="U24">
        <v>28.9009</v>
      </c>
      <c r="W24">
        <v>3.9480000000000001E-2</v>
      </c>
      <c r="X24" s="4">
        <f>A69+(W24-B69)*(A70-A69)/(B70-B69)</f>
        <v>15.6159346188455</v>
      </c>
      <c r="Y24">
        <f t="shared" si="1"/>
        <v>14.69909</v>
      </c>
      <c r="Z24" s="4">
        <f>C69+(W24-B69)*(C70-C69)/(B70-B69)</f>
        <v>3.5572689407849897E-2</v>
      </c>
      <c r="AA24">
        <f t="shared" si="2"/>
        <v>2.9221200000000001</v>
      </c>
      <c r="AB24">
        <f>D69+(W24-B69)*(D70-D69)/(B70-B69)</f>
        <v>300.00697325778702</v>
      </c>
      <c r="AC24">
        <f>(U26+(W24-S26)*(U27-U26)/(S27-S26))+273</f>
        <v>301.14069760000001</v>
      </c>
      <c r="AE24" s="2">
        <v>12</v>
      </c>
      <c r="AF24">
        <v>0.21098</v>
      </c>
      <c r="AG24" s="6">
        <v>-0.17900959999999899</v>
      </c>
      <c r="AH24">
        <v>-1.8582239883541199E-2</v>
      </c>
      <c r="AI24">
        <f t="shared" si="4"/>
        <v>0.12</v>
      </c>
      <c r="AJ24" s="9">
        <f>AH70+(AI24-AG70)*(AH71-AH70)/(AG71-AG70)</f>
        <v>0.133086881888409</v>
      </c>
      <c r="AK24">
        <v>0.21098</v>
      </c>
    </row>
    <row r="25" spans="1:37">
      <c r="A25">
        <v>15.715231082935899</v>
      </c>
      <c r="B25">
        <v>1.3046E-2</v>
      </c>
      <c r="C25">
        <v>5.6835275794060197E-2</v>
      </c>
      <c r="D25">
        <v>300.00529535821403</v>
      </c>
      <c r="E25">
        <v>0.30499999999999899</v>
      </c>
      <c r="F25">
        <v>1.3046E-2</v>
      </c>
      <c r="G25">
        <v>0.16700000000000001</v>
      </c>
      <c r="I25" s="2"/>
      <c r="J25">
        <v>4.9089999999999998</v>
      </c>
      <c r="K25">
        <v>0.31472699999999998</v>
      </c>
      <c r="L25">
        <v>0.50739999999999996</v>
      </c>
      <c r="M25">
        <v>0.59648999999999996</v>
      </c>
      <c r="N25">
        <v>15.991300000000001</v>
      </c>
      <c r="O25">
        <v>14.77544</v>
      </c>
      <c r="P25">
        <v>2.90042</v>
      </c>
      <c r="Q25">
        <v>15.05743</v>
      </c>
      <c r="R25">
        <v>11.106</v>
      </c>
      <c r="S25" s="2">
        <f t="shared" si="0"/>
        <v>0.03</v>
      </c>
      <c r="T25">
        <v>3</v>
      </c>
      <c r="U25">
        <v>28.503799999999998</v>
      </c>
      <c r="W25">
        <v>4.9089999999999995E-2</v>
      </c>
      <c r="X25" s="4">
        <f>A85+(W25-B85)*(A86-A85)/(B86-B85)</f>
        <v>15.7453777476686</v>
      </c>
      <c r="Y25">
        <f t="shared" si="1"/>
        <v>14.77544</v>
      </c>
      <c r="Z25" s="4">
        <f>C85+(W25-B85)*(C86-C85)/(B86-B85)</f>
        <v>1.8798217145095199E-2</v>
      </c>
      <c r="AA25">
        <f t="shared" si="2"/>
        <v>2.90042</v>
      </c>
      <c r="AB25">
        <f>D85+(W25-B85)*(D86-D85)/(B86-B85)</f>
        <v>300.004779752324</v>
      </c>
      <c r="AC25">
        <f>(U27+(W25-S27)*(U28-U27)/(S28-S27))+273</f>
        <v>301.098412</v>
      </c>
      <c r="AE25" s="2">
        <v>13</v>
      </c>
      <c r="AF25">
        <v>0.19508</v>
      </c>
      <c r="AG25" s="6">
        <v>-0.1726164</v>
      </c>
      <c r="AH25">
        <v>1.48398555111323E-2</v>
      </c>
      <c r="AI25">
        <f t="shared" si="4"/>
        <v>0.13</v>
      </c>
      <c r="AJ25" s="9">
        <f>AH72+(AI25-AG72)*(AH73-AH72)/(AG73-AG72)</f>
        <v>0.12087626625553838</v>
      </c>
      <c r="AK25">
        <v>0.19508</v>
      </c>
    </row>
    <row r="26" spans="1:37">
      <c r="A26">
        <v>15.7747921485961</v>
      </c>
      <c r="B26">
        <v>1.3639E-2</v>
      </c>
      <c r="C26">
        <v>4.2770911977783897E-2</v>
      </c>
      <c r="D26">
        <v>300.00497872159099</v>
      </c>
      <c r="E26">
        <v>0.30499999999999899</v>
      </c>
      <c r="F26">
        <v>1.3639E-2</v>
      </c>
      <c r="G26">
        <v>0.16700000000000001</v>
      </c>
      <c r="I26" s="2"/>
      <c r="J26">
        <v>5.9089999999999998</v>
      </c>
      <c r="K26">
        <v>0.31472699999999998</v>
      </c>
      <c r="L26">
        <v>0.50739999999999996</v>
      </c>
      <c r="M26">
        <v>0.59648999999999996</v>
      </c>
      <c r="N26">
        <v>15.993359999999999</v>
      </c>
      <c r="O26">
        <v>14.784190000000001</v>
      </c>
      <c r="P26">
        <v>2.9035099999999998</v>
      </c>
      <c r="Q26">
        <v>15.066610000000001</v>
      </c>
      <c r="R26">
        <v>11.111000000000001</v>
      </c>
      <c r="S26" s="2">
        <f t="shared" si="0"/>
        <v>3.5000000000000003E-2</v>
      </c>
      <c r="T26">
        <v>3.5</v>
      </c>
      <c r="U26">
        <v>28.2544</v>
      </c>
      <c r="W26">
        <v>5.9089999999999997E-2</v>
      </c>
      <c r="X26" s="4">
        <f>A102+(W26-B102)*(A103-A102)/(B103-B102)</f>
        <v>15.7453777476686</v>
      </c>
      <c r="Y26">
        <f t="shared" si="1"/>
        <v>14.784190000000001</v>
      </c>
      <c r="Z26" s="4">
        <f>C102+(W26-B102)*(C103-C102)/(B103-B102)</f>
        <v>1.8798217145095199E-2</v>
      </c>
      <c r="AA26">
        <f t="shared" si="2"/>
        <v>2.9035099999999998</v>
      </c>
      <c r="AE26" s="2">
        <v>14</v>
      </c>
      <c r="AF26">
        <v>0.17881</v>
      </c>
      <c r="AG26" s="6">
        <v>-0.16622319999999999</v>
      </c>
      <c r="AH26">
        <v>1.48398555111323E-2</v>
      </c>
      <c r="AI26">
        <f t="shared" si="4"/>
        <v>0.14000000000000001</v>
      </c>
      <c r="AJ26" s="9">
        <f>AH74</f>
        <v>9.6539640379030803E-2</v>
      </c>
      <c r="AK26">
        <v>0.17881</v>
      </c>
    </row>
    <row r="27" spans="1:37">
      <c r="A27">
        <v>15.7747921485961</v>
      </c>
      <c r="B27">
        <v>1.4232E-2</v>
      </c>
      <c r="C27">
        <v>4.2770911977783897E-2</v>
      </c>
      <c r="D27">
        <v>300.00497872159099</v>
      </c>
      <c r="E27">
        <v>0.30499999999999899</v>
      </c>
      <c r="F27">
        <v>1.4232E-2</v>
      </c>
      <c r="G27">
        <v>0.16700000000000001</v>
      </c>
      <c r="I27" s="2"/>
      <c r="J27">
        <v>5.93</v>
      </c>
      <c r="K27">
        <v>0.31472699999999998</v>
      </c>
      <c r="L27">
        <v>0.50739999999999996</v>
      </c>
      <c r="M27">
        <v>0.59648999999999996</v>
      </c>
      <c r="N27">
        <v>15.98775</v>
      </c>
      <c r="O27">
        <v>14.78322</v>
      </c>
      <c r="P27">
        <v>2.9045800000000002</v>
      </c>
      <c r="Q27">
        <v>15.065860000000001</v>
      </c>
      <c r="R27">
        <v>11.116</v>
      </c>
      <c r="S27" s="2">
        <f t="shared" si="0"/>
        <v>0.04</v>
      </c>
      <c r="T27">
        <v>4</v>
      </c>
      <c r="U27">
        <v>28.127500000000001</v>
      </c>
      <c r="W27">
        <v>5.9299999999999999E-2</v>
      </c>
      <c r="X27">
        <f>A103</f>
        <v>15.7453777476686</v>
      </c>
      <c r="Y27">
        <f t="shared" si="1"/>
        <v>14.78322</v>
      </c>
      <c r="Z27" s="4">
        <f>C103</f>
        <v>1.8798217145095199E-2</v>
      </c>
      <c r="AA27">
        <f t="shared" si="2"/>
        <v>2.9045800000000002</v>
      </c>
      <c r="AE27" s="2">
        <v>15</v>
      </c>
      <c r="AF27">
        <v>0.16117000000000001</v>
      </c>
      <c r="AG27" s="6">
        <v>-0.15983</v>
      </c>
      <c r="AH27">
        <v>4.3739251928975202E-2</v>
      </c>
      <c r="AI27">
        <f t="shared" si="4"/>
        <v>0.15</v>
      </c>
      <c r="AJ27" s="9">
        <f>AH75+(AI27-AG75)*(AH76-AH75)/(AG76-AG75)</f>
        <v>6.9247012361477595E-2</v>
      </c>
      <c r="AK27">
        <v>0.16117000000000001</v>
      </c>
    </row>
    <row r="28" spans="1:37">
      <c r="A28">
        <v>15.7747921485961</v>
      </c>
      <c r="B28">
        <v>1.4825E-2</v>
      </c>
      <c r="C28">
        <v>4.2770911977783897E-2</v>
      </c>
      <c r="D28">
        <v>300.00497872159099</v>
      </c>
      <c r="E28">
        <v>0.30499999999999899</v>
      </c>
      <c r="F28">
        <v>1.4825E-2</v>
      </c>
      <c r="G28">
        <v>0.16700000000000001</v>
      </c>
      <c r="I28" s="2"/>
      <c r="S28" s="2">
        <f t="shared" si="0"/>
        <v>0.05</v>
      </c>
      <c r="T28">
        <v>5</v>
      </c>
      <c r="U28">
        <v>28.095500000000001</v>
      </c>
      <c r="AE28" s="2">
        <v>16</v>
      </c>
      <c r="AF28">
        <v>0.14374999999999999</v>
      </c>
      <c r="AG28" s="6">
        <v>-0.15343679999999901</v>
      </c>
      <c r="AH28">
        <v>7.2192092131410701E-2</v>
      </c>
      <c r="AI28">
        <f t="shared" si="4"/>
        <v>0.16</v>
      </c>
      <c r="AJ28" s="9">
        <f>AH77</f>
        <v>1.9153880266429502E-2</v>
      </c>
      <c r="AK28">
        <v>0.14374999999999999</v>
      </c>
    </row>
    <row r="29" spans="1:37">
      <c r="A29">
        <v>15.7747921485961</v>
      </c>
      <c r="B29">
        <v>1.5417999999999901E-2</v>
      </c>
      <c r="C29">
        <v>4.2770911977783897E-2</v>
      </c>
      <c r="D29">
        <v>300.00497872159099</v>
      </c>
      <c r="E29">
        <v>0.30499999999999899</v>
      </c>
      <c r="F29">
        <v>1.5417999999999901E-2</v>
      </c>
      <c r="G29">
        <v>0.16700000000000001</v>
      </c>
      <c r="AE29" s="2">
        <v>17</v>
      </c>
      <c r="AF29">
        <v>0.12573000000000001</v>
      </c>
      <c r="AG29" s="6">
        <v>-0.1470436</v>
      </c>
      <c r="AH29">
        <v>7.2192092131410701E-2</v>
      </c>
      <c r="AI29">
        <f t="shared" si="4"/>
        <v>0.17</v>
      </c>
      <c r="AJ29" s="9">
        <f>AH78+(AI29-AG78)*(AH79-AH78)/(AG79-AG78)</f>
        <v>1.9153880266429502E-2</v>
      </c>
      <c r="AK29">
        <v>0.12573000000000001</v>
      </c>
    </row>
    <row r="30" spans="1:37">
      <c r="A30">
        <v>15.7747921485961</v>
      </c>
      <c r="B30">
        <v>1.6011000000000001E-2</v>
      </c>
      <c r="C30">
        <v>4.2770911977783897E-2</v>
      </c>
      <c r="D30">
        <v>300.00497872159099</v>
      </c>
      <c r="E30">
        <v>0.30499999999999899</v>
      </c>
      <c r="F30">
        <v>1.6011000000000001E-2</v>
      </c>
      <c r="G30">
        <v>0.16700000000000001</v>
      </c>
      <c r="AE30" s="2">
        <v>18</v>
      </c>
      <c r="AF30">
        <v>0.10644000000000001</v>
      </c>
      <c r="AG30" s="6">
        <v>-0.14065039999999901</v>
      </c>
      <c r="AH30">
        <v>9.2345606088214502E-2</v>
      </c>
      <c r="AI30">
        <f t="shared" si="4"/>
        <v>0.18</v>
      </c>
      <c r="AJ30" s="9">
        <f>AH80</f>
        <v>-4.00799253943947E-2</v>
      </c>
      <c r="AK30">
        <v>0.10644000000000001</v>
      </c>
    </row>
    <row r="31" spans="1:37">
      <c r="A31">
        <v>15.7747921485961</v>
      </c>
      <c r="B31">
        <v>1.6604000000000001E-2</v>
      </c>
      <c r="C31">
        <v>4.2770911977783897E-2</v>
      </c>
      <c r="D31">
        <v>300.00497872159099</v>
      </c>
      <c r="E31">
        <v>0.30499999999999899</v>
      </c>
      <c r="F31">
        <v>1.6604000000000001E-2</v>
      </c>
      <c r="G31">
        <v>0.16700000000000001</v>
      </c>
      <c r="AE31" s="2">
        <v>19</v>
      </c>
      <c r="AF31">
        <v>8.7459999999999996E-2</v>
      </c>
      <c r="AG31" s="6">
        <v>-0.13425719999999999</v>
      </c>
      <c r="AH31">
        <v>0.12732476988994401</v>
      </c>
      <c r="AI31">
        <f t="shared" si="4"/>
        <v>0.19</v>
      </c>
      <c r="AJ31" s="9">
        <f>AH81+(AI31-AG81)*(AH82-AH81)/(AG82-AG81)</f>
        <v>-4.00799253943947E-2</v>
      </c>
      <c r="AK31">
        <v>8.7459999999999996E-2</v>
      </c>
    </row>
    <row r="32" spans="1:37">
      <c r="A32">
        <v>15.7747921485961</v>
      </c>
      <c r="B32">
        <v>1.71969999999999E-2</v>
      </c>
      <c r="C32">
        <v>4.2770911977783897E-2</v>
      </c>
      <c r="D32">
        <v>300.00497872159099</v>
      </c>
      <c r="E32">
        <v>0.30499999999999899</v>
      </c>
      <c r="F32">
        <v>1.71969999999999E-2</v>
      </c>
      <c r="G32">
        <v>0.16700000000000001</v>
      </c>
      <c r="AE32" s="2">
        <v>20</v>
      </c>
      <c r="AF32">
        <v>6.7470000000000002E-2</v>
      </c>
      <c r="AG32" s="6">
        <v>-0.12786400000000001</v>
      </c>
      <c r="AH32">
        <v>0.12732476988994401</v>
      </c>
      <c r="AI32">
        <f t="shared" si="4"/>
        <v>0.2</v>
      </c>
      <c r="AJ32" s="9">
        <f>AH83+(AI32-AG83)*(AH84-AH83)/(AG84-AG83)</f>
        <v>-5.5875100158716398E-2</v>
      </c>
      <c r="AK32">
        <v>6.7470000000000002E-2</v>
      </c>
    </row>
    <row r="33" spans="1:37">
      <c r="A33">
        <v>15.7747921485961</v>
      </c>
      <c r="B33">
        <v>1.779E-2</v>
      </c>
      <c r="C33">
        <v>4.2770911977783897E-2</v>
      </c>
      <c r="D33">
        <v>300.00497872159099</v>
      </c>
      <c r="E33">
        <v>0.30499999999999899</v>
      </c>
      <c r="F33">
        <v>1.779E-2</v>
      </c>
      <c r="G33">
        <v>0.16700000000000001</v>
      </c>
      <c r="AE33" s="2">
        <v>21</v>
      </c>
      <c r="AF33">
        <v>4.7289999999999999E-2</v>
      </c>
      <c r="AG33" s="6">
        <v>-0.121470799999999</v>
      </c>
      <c r="AH33">
        <v>0.12732476988994401</v>
      </c>
      <c r="AI33">
        <f t="shared" si="4"/>
        <v>0.21</v>
      </c>
      <c r="AJ33" s="9">
        <f>AH85</f>
        <v>-9.5846278002778396E-2</v>
      </c>
      <c r="AK33">
        <v>4.7289999999999999E-2</v>
      </c>
    </row>
    <row r="34" spans="1:37">
      <c r="A34">
        <v>15.7747921485961</v>
      </c>
      <c r="B34">
        <v>1.8383E-2</v>
      </c>
      <c r="C34">
        <v>4.2770911977783897E-2</v>
      </c>
      <c r="D34">
        <v>300.00497872159099</v>
      </c>
      <c r="E34">
        <v>0.30499999999999899</v>
      </c>
      <c r="F34">
        <v>1.8383E-2</v>
      </c>
      <c r="G34">
        <v>0.16700000000000001</v>
      </c>
      <c r="AE34" s="2">
        <v>22</v>
      </c>
      <c r="AF34">
        <v>2.6179999999999998E-2</v>
      </c>
      <c r="AG34" s="6">
        <v>-0.1150776</v>
      </c>
      <c r="AH34">
        <v>0.147031877039808</v>
      </c>
      <c r="AI34">
        <f t="shared" si="4"/>
        <v>0.22</v>
      </c>
      <c r="AJ34" s="9">
        <f>AH86+(AI34-AG86)*(AH87-AH86)/(AG87-AG86)</f>
        <v>-0.155826278432806</v>
      </c>
      <c r="AK34">
        <v>2.6179999999999998E-2</v>
      </c>
    </row>
    <row r="35" spans="1:37">
      <c r="A35">
        <v>15.7747921485961</v>
      </c>
      <c r="B35">
        <v>1.8976E-2</v>
      </c>
      <c r="C35">
        <v>4.2770911977783897E-2</v>
      </c>
      <c r="D35">
        <v>300.00497872159099</v>
      </c>
      <c r="E35">
        <v>0.30499999999999899</v>
      </c>
      <c r="F35">
        <v>1.8976E-2</v>
      </c>
      <c r="G35">
        <v>0.16700000000000001</v>
      </c>
      <c r="AE35" s="2">
        <v>23</v>
      </c>
      <c r="AF35">
        <v>5.0099999999999997E-3</v>
      </c>
      <c r="AG35" s="6">
        <v>-0.108684399999999</v>
      </c>
      <c r="AH35">
        <v>0.147031877039808</v>
      </c>
      <c r="AI35" s="6">
        <f t="shared" si="4"/>
        <v>0.23</v>
      </c>
      <c r="AJ35" s="9">
        <f>AH88</f>
        <v>-0.155826278432806</v>
      </c>
      <c r="AK35">
        <v>5.0099999999999997E-3</v>
      </c>
    </row>
    <row r="36" spans="1:37">
      <c r="A36">
        <v>15.7747921485961</v>
      </c>
      <c r="B36">
        <v>1.9569E-2</v>
      </c>
      <c r="C36">
        <v>4.2770911977783897E-2</v>
      </c>
      <c r="D36">
        <v>300.00497872159099</v>
      </c>
      <c r="E36">
        <v>0.30499999999999899</v>
      </c>
      <c r="F36">
        <v>1.9569E-2</v>
      </c>
      <c r="G36">
        <v>0.16700000000000001</v>
      </c>
      <c r="AE36" s="2">
        <v>24</v>
      </c>
      <c r="AF36">
        <v>-1.6109999999999999E-2</v>
      </c>
      <c r="AG36" s="6">
        <v>-0.102291199999999</v>
      </c>
      <c r="AH36">
        <v>0.190945124297385</v>
      </c>
      <c r="AI36" s="6">
        <f t="shared" si="4"/>
        <v>0.24</v>
      </c>
      <c r="AJ36" s="9">
        <f>AH89+(AI36-AG89)*(AH90-AH89)/(AG90-AG89)</f>
        <v>-0.20093685750967963</v>
      </c>
      <c r="AK36">
        <v>-1.6109999999999999E-2</v>
      </c>
    </row>
    <row r="37" spans="1:37">
      <c r="A37">
        <v>15.7747921485961</v>
      </c>
      <c r="B37">
        <v>2.0161999999999899E-2</v>
      </c>
      <c r="C37">
        <v>4.2770911977783897E-2</v>
      </c>
      <c r="D37">
        <v>300.00497872159099</v>
      </c>
      <c r="E37">
        <v>0.30499999999999899</v>
      </c>
      <c r="F37">
        <v>2.0161999999999899E-2</v>
      </c>
      <c r="G37">
        <v>0.16700000000000001</v>
      </c>
      <c r="AE37" s="2">
        <v>25</v>
      </c>
      <c r="AF37">
        <v>-3.8469999999999997E-2</v>
      </c>
      <c r="AG37" s="6">
        <v>-9.5897999999999997E-2</v>
      </c>
      <c r="AH37">
        <v>0.190945124297385</v>
      </c>
      <c r="AI37">
        <f t="shared" si="4"/>
        <v>0.25</v>
      </c>
      <c r="AJ37" s="9">
        <f>AH91</f>
        <v>-0.21231299429544101</v>
      </c>
      <c r="AK37">
        <v>-3.8469999999999997E-2</v>
      </c>
    </row>
    <row r="38" spans="1:37">
      <c r="A38">
        <v>15.7747921485961</v>
      </c>
      <c r="B38">
        <v>2.0754999999999899E-2</v>
      </c>
      <c r="C38">
        <v>4.2770911977783897E-2</v>
      </c>
      <c r="D38">
        <v>300.00497872159099</v>
      </c>
      <c r="E38">
        <v>0.30499999999999899</v>
      </c>
      <c r="F38">
        <v>2.0754999999999899E-2</v>
      </c>
      <c r="G38">
        <v>0.16700000000000001</v>
      </c>
      <c r="AE38" s="2">
        <v>26</v>
      </c>
      <c r="AF38">
        <v>-6.0650000000000003E-2</v>
      </c>
      <c r="AG38" s="6">
        <v>-8.9504799999999898E-2</v>
      </c>
      <c r="AH38">
        <v>0.19166205974815201</v>
      </c>
      <c r="AI38">
        <f t="shared" si="4"/>
        <v>0.26</v>
      </c>
      <c r="AJ38" s="9">
        <f>AH92+(AI38-AG92)*(AH93-AH92)/(AG93-AG92)</f>
        <v>-0.26245698812250201</v>
      </c>
      <c r="AK38">
        <v>-6.0650000000000003E-2</v>
      </c>
    </row>
    <row r="39" spans="1:37">
      <c r="A39">
        <v>15.7747921485961</v>
      </c>
      <c r="B39">
        <v>2.1347999999999898E-2</v>
      </c>
      <c r="C39">
        <v>4.2770911977783897E-2</v>
      </c>
      <c r="D39">
        <v>300.00497872159099</v>
      </c>
      <c r="E39">
        <v>0.30499999999999899</v>
      </c>
      <c r="F39">
        <v>2.1347999999999898E-2</v>
      </c>
      <c r="G39">
        <v>0.16700000000000001</v>
      </c>
      <c r="AE39" s="2">
        <v>27</v>
      </c>
      <c r="AF39">
        <v>-8.4360000000000004E-2</v>
      </c>
      <c r="AG39" s="7">
        <v>-8.3111599999999994E-2</v>
      </c>
      <c r="AH39">
        <v>0.21894697499714499</v>
      </c>
      <c r="AI39">
        <f t="shared" si="4"/>
        <v>0.27</v>
      </c>
      <c r="AJ39" s="9">
        <f>AH94+(AI39-AG94)*(AH95-AH94)/(AG95-AG94)</f>
        <v>-0.30997815358572101</v>
      </c>
      <c r="AK39">
        <v>-8.4360000000000004E-2</v>
      </c>
    </row>
    <row r="40" spans="1:37">
      <c r="A40">
        <v>15.7747921485961</v>
      </c>
      <c r="B40">
        <v>2.1940999999999902E-2</v>
      </c>
      <c r="C40">
        <v>4.2770911977783897E-2</v>
      </c>
      <c r="D40">
        <v>300.00497872159099</v>
      </c>
      <c r="E40">
        <v>0.30499999999999899</v>
      </c>
      <c r="F40">
        <v>2.1940999999999902E-2</v>
      </c>
      <c r="G40">
        <v>0.16700000000000001</v>
      </c>
      <c r="AG40" s="7">
        <v>-7.6718399999999895E-2</v>
      </c>
      <c r="AH40">
        <v>0.24238812728850601</v>
      </c>
    </row>
    <row r="41" spans="1:37">
      <c r="A41">
        <v>15.7747921485961</v>
      </c>
      <c r="B41">
        <v>2.2533999999999901E-2</v>
      </c>
      <c r="C41">
        <v>4.2770911977783897E-2</v>
      </c>
      <c r="D41">
        <v>300.00497872159099</v>
      </c>
      <c r="E41">
        <v>0.30499999999999899</v>
      </c>
      <c r="F41">
        <v>2.2533999999999901E-2</v>
      </c>
      <c r="G41">
        <v>0.16700000000000001</v>
      </c>
      <c r="AG41" s="6">
        <v>-7.0325200000000004E-2</v>
      </c>
      <c r="AH41">
        <v>0.24238812728850601</v>
      </c>
    </row>
    <row r="42" spans="1:37">
      <c r="A42">
        <v>15.7747921485961</v>
      </c>
      <c r="B42">
        <v>2.3127000000000002E-2</v>
      </c>
      <c r="C42">
        <v>4.2770911977783897E-2</v>
      </c>
      <c r="D42">
        <v>300.00497872159099</v>
      </c>
      <c r="E42">
        <v>0.30499999999999899</v>
      </c>
      <c r="F42">
        <v>2.3127000000000002E-2</v>
      </c>
      <c r="G42">
        <v>0.16700000000000001</v>
      </c>
      <c r="AG42" s="7">
        <v>-6.3931999999999906E-2</v>
      </c>
      <c r="AH42">
        <v>0.269521690625313</v>
      </c>
    </row>
    <row r="43" spans="1:37">
      <c r="A43">
        <v>15.7747921485961</v>
      </c>
      <c r="B43">
        <v>2.3720000000000001E-2</v>
      </c>
      <c r="C43">
        <v>4.2770911977783897E-2</v>
      </c>
      <c r="D43">
        <v>300.00497872159099</v>
      </c>
      <c r="E43">
        <v>0.30499999999999899</v>
      </c>
      <c r="F43">
        <v>2.3720000000000001E-2</v>
      </c>
      <c r="G43">
        <v>0.16700000000000001</v>
      </c>
      <c r="AG43" s="7">
        <v>-5.7538800000000001E-2</v>
      </c>
      <c r="AH43">
        <v>0.276595195533125</v>
      </c>
    </row>
    <row r="44" spans="1:37">
      <c r="A44">
        <v>15.7747921485961</v>
      </c>
      <c r="B44">
        <v>2.4312999999999901E-2</v>
      </c>
      <c r="C44">
        <v>4.2770911977783897E-2</v>
      </c>
      <c r="D44">
        <v>300.00497872159099</v>
      </c>
      <c r="E44">
        <v>0.30499999999999899</v>
      </c>
      <c r="F44">
        <v>2.4312999999999901E-2</v>
      </c>
      <c r="G44">
        <v>0.16700000000000001</v>
      </c>
      <c r="AG44" s="6">
        <v>-5.1145599999999999E-2</v>
      </c>
      <c r="AH44">
        <v>0.276595195533125</v>
      </c>
    </row>
    <row r="45" spans="1:37">
      <c r="A45">
        <v>15.7747921485961</v>
      </c>
      <c r="B45">
        <v>2.49059999999999E-2</v>
      </c>
      <c r="C45">
        <v>4.2770911977783897E-2</v>
      </c>
      <c r="D45">
        <v>300.00497872159099</v>
      </c>
      <c r="E45">
        <v>0.30499999999999899</v>
      </c>
      <c r="F45">
        <v>2.49059999999999E-2</v>
      </c>
      <c r="G45">
        <v>0.16700000000000001</v>
      </c>
      <c r="AG45" s="7">
        <v>-4.4752399999999998E-2</v>
      </c>
      <c r="AH45">
        <v>0.276595195533125</v>
      </c>
    </row>
    <row r="46" spans="1:37">
      <c r="A46">
        <v>15.7747921485961</v>
      </c>
      <c r="B46">
        <v>2.54989999999999E-2</v>
      </c>
      <c r="C46">
        <v>4.2770911977783897E-2</v>
      </c>
      <c r="D46">
        <v>300.00497872159099</v>
      </c>
      <c r="E46">
        <v>0.30499999999999899</v>
      </c>
      <c r="F46">
        <v>2.54989999999999E-2</v>
      </c>
      <c r="G46">
        <v>0.16700000000000001</v>
      </c>
      <c r="AG46" s="7">
        <v>-3.8359199999999899E-2</v>
      </c>
      <c r="AH46">
        <v>0.26473082135296999</v>
      </c>
    </row>
    <row r="47" spans="1:37">
      <c r="A47">
        <v>15.6159346188455</v>
      </c>
      <c r="B47">
        <v>2.6092000000000001E-2</v>
      </c>
      <c r="C47">
        <v>3.5572689407849897E-2</v>
      </c>
      <c r="D47">
        <v>300.00697325778702</v>
      </c>
      <c r="E47">
        <v>0.30499999999999899</v>
      </c>
      <c r="F47">
        <v>2.6092000000000001E-2</v>
      </c>
      <c r="G47">
        <v>0.16700000000000001</v>
      </c>
      <c r="AG47" s="7">
        <v>-3.1965999999999897E-2</v>
      </c>
      <c r="AH47">
        <v>0.26473082135296999</v>
      </c>
    </row>
    <row r="48" spans="1:37">
      <c r="A48">
        <v>15.6159346188455</v>
      </c>
      <c r="B48">
        <v>2.6685E-2</v>
      </c>
      <c r="C48">
        <v>3.5572689407849897E-2</v>
      </c>
      <c r="D48">
        <v>300.00697325778702</v>
      </c>
      <c r="E48">
        <v>0.30499999999999899</v>
      </c>
      <c r="F48">
        <v>2.6685E-2</v>
      </c>
      <c r="G48">
        <v>0.16700000000000001</v>
      </c>
      <c r="AG48" s="7">
        <v>-2.55728E-2</v>
      </c>
      <c r="AH48">
        <v>0.30859709083160197</v>
      </c>
    </row>
    <row r="49" spans="1:34">
      <c r="A49">
        <v>15.6159346188455</v>
      </c>
      <c r="B49">
        <v>2.7278E-2</v>
      </c>
      <c r="C49">
        <v>3.5572689407849897E-2</v>
      </c>
      <c r="D49">
        <v>300.00697325778702</v>
      </c>
      <c r="E49">
        <v>0.30499999999999899</v>
      </c>
      <c r="F49">
        <v>2.7278E-2</v>
      </c>
      <c r="G49">
        <v>0.16700000000000001</v>
      </c>
      <c r="AG49" s="6">
        <v>-1.9179600000000002E-2</v>
      </c>
      <c r="AH49">
        <v>0.30859709083160197</v>
      </c>
    </row>
    <row r="50" spans="1:34">
      <c r="A50">
        <v>15.6159346188455</v>
      </c>
      <c r="B50">
        <v>2.7870999999999899E-2</v>
      </c>
      <c r="C50">
        <v>3.5572689407849897E-2</v>
      </c>
      <c r="D50">
        <v>300.00697325778702</v>
      </c>
      <c r="E50">
        <v>0.30499999999999899</v>
      </c>
      <c r="F50">
        <v>2.7870999999999899E-2</v>
      </c>
      <c r="G50">
        <v>0.16700000000000001</v>
      </c>
      <c r="AG50" s="7">
        <v>-1.27864E-2</v>
      </c>
      <c r="AH50">
        <v>0.28352152794223101</v>
      </c>
    </row>
    <row r="51" spans="1:34">
      <c r="A51">
        <v>15.6159346188455</v>
      </c>
      <c r="B51">
        <v>2.8464E-2</v>
      </c>
      <c r="C51">
        <v>3.5572689407849897E-2</v>
      </c>
      <c r="D51">
        <v>300.00697325778702</v>
      </c>
      <c r="E51">
        <v>0.30499999999999899</v>
      </c>
      <c r="F51">
        <v>2.8464E-2</v>
      </c>
      <c r="G51">
        <v>0.16700000000000001</v>
      </c>
      <c r="AG51" s="7">
        <v>-6.39319999999998E-3</v>
      </c>
      <c r="AH51">
        <v>0.28352152794223101</v>
      </c>
    </row>
    <row r="52" spans="1:34">
      <c r="A52">
        <v>15.6159346188455</v>
      </c>
      <c r="B52">
        <v>2.9056999999999899E-2</v>
      </c>
      <c r="C52">
        <v>3.5572689407849897E-2</v>
      </c>
      <c r="D52">
        <v>300.00697325778702</v>
      </c>
      <c r="E52">
        <v>0.30499999999999899</v>
      </c>
      <c r="F52">
        <v>2.9056999999999899E-2</v>
      </c>
      <c r="G52">
        <v>0.16700000000000001</v>
      </c>
      <c r="AG52" s="6">
        <v>0</v>
      </c>
      <c r="AH52">
        <v>0.29886399343459602</v>
      </c>
    </row>
    <row r="53" spans="1:34">
      <c r="A53">
        <v>15.6159346188455</v>
      </c>
      <c r="B53">
        <v>2.9649999999999899E-2</v>
      </c>
      <c r="C53">
        <v>3.5572689407849897E-2</v>
      </c>
      <c r="D53">
        <v>300.00697325778702</v>
      </c>
      <c r="E53">
        <v>0.30499999999999899</v>
      </c>
      <c r="F53">
        <v>2.9649999999999899E-2</v>
      </c>
      <c r="G53">
        <v>0.16700000000000001</v>
      </c>
      <c r="AG53" s="7">
        <v>6.39319999999998E-3</v>
      </c>
      <c r="AH53">
        <v>0.29886399343459602</v>
      </c>
    </row>
    <row r="54" spans="1:34">
      <c r="A54">
        <v>15.6159346188455</v>
      </c>
      <c r="B54">
        <v>3.0242999999999898E-2</v>
      </c>
      <c r="C54">
        <v>3.5572689407849897E-2</v>
      </c>
      <c r="D54">
        <v>300.00697325778702</v>
      </c>
      <c r="E54">
        <v>0.30499999999999899</v>
      </c>
      <c r="F54">
        <v>3.0242999999999898E-2</v>
      </c>
      <c r="G54">
        <v>0.16700000000000001</v>
      </c>
      <c r="AG54" s="7">
        <v>1.27864E-2</v>
      </c>
      <c r="AH54">
        <v>0.29886399343459602</v>
      </c>
    </row>
    <row r="55" spans="1:34">
      <c r="A55">
        <v>15.6159346188455</v>
      </c>
      <c r="B55">
        <v>3.0835999999999902E-2</v>
      </c>
      <c r="C55">
        <v>3.5572689407849897E-2</v>
      </c>
      <c r="D55">
        <v>300.00697325778702</v>
      </c>
      <c r="E55">
        <v>0.30499999999999899</v>
      </c>
      <c r="F55">
        <v>3.0835999999999902E-2</v>
      </c>
      <c r="G55">
        <v>0.16700000000000001</v>
      </c>
      <c r="AG55" s="6">
        <v>1.9179600000000002E-2</v>
      </c>
      <c r="AH55">
        <v>0.31306052133314599</v>
      </c>
    </row>
    <row r="56" spans="1:34">
      <c r="A56">
        <v>15.6159346188455</v>
      </c>
      <c r="B56">
        <v>3.1428999999999901E-2</v>
      </c>
      <c r="C56">
        <v>3.5572689407849897E-2</v>
      </c>
      <c r="D56">
        <v>300.00697325778702</v>
      </c>
      <c r="E56">
        <v>0.30499999999999899</v>
      </c>
      <c r="F56">
        <v>3.1428999999999901E-2</v>
      </c>
      <c r="G56">
        <v>0.16700000000000001</v>
      </c>
      <c r="AG56" s="7">
        <v>2.55728E-2</v>
      </c>
      <c r="AH56">
        <v>0.28183960545877501</v>
      </c>
    </row>
    <row r="57" spans="1:34">
      <c r="A57">
        <v>15.6159346188455</v>
      </c>
      <c r="B57">
        <v>3.2022000000000002E-2</v>
      </c>
      <c r="C57">
        <v>3.5572689407849897E-2</v>
      </c>
      <c r="D57">
        <v>300.00697325778702</v>
      </c>
      <c r="E57">
        <v>0.30499999999999899</v>
      </c>
      <c r="F57">
        <v>3.2022000000000002E-2</v>
      </c>
      <c r="G57">
        <v>0.16700000000000001</v>
      </c>
      <c r="AG57" s="7">
        <v>3.1966000000000001E-2</v>
      </c>
      <c r="AH57">
        <v>0.28183960545877501</v>
      </c>
    </row>
    <row r="58" spans="1:34">
      <c r="A58">
        <v>15.6159346188455</v>
      </c>
      <c r="B58">
        <v>3.2614999999999998E-2</v>
      </c>
      <c r="C58">
        <v>3.5572689407849897E-2</v>
      </c>
      <c r="D58">
        <v>300.00697325778702</v>
      </c>
      <c r="E58">
        <v>0.30499999999999899</v>
      </c>
      <c r="F58">
        <v>3.2614999999999998E-2</v>
      </c>
      <c r="G58">
        <v>0.16700000000000001</v>
      </c>
      <c r="AG58" s="7">
        <v>3.8359200000000003E-2</v>
      </c>
      <c r="AH58">
        <v>0.28637763751283402</v>
      </c>
    </row>
    <row r="59" spans="1:34">
      <c r="A59">
        <v>15.6159346188455</v>
      </c>
      <c r="B59">
        <v>3.3208000000000001E-2</v>
      </c>
      <c r="C59">
        <v>3.5572689407849897E-2</v>
      </c>
      <c r="D59">
        <v>300.00697325778702</v>
      </c>
      <c r="E59">
        <v>0.30499999999999899</v>
      </c>
      <c r="F59">
        <v>3.3208000000000001E-2</v>
      </c>
      <c r="G59">
        <v>0.16700000000000001</v>
      </c>
      <c r="AG59" s="7">
        <v>4.4752399999999901E-2</v>
      </c>
      <c r="AH59">
        <v>0.28637763751283402</v>
      </c>
    </row>
    <row r="60" spans="1:34">
      <c r="A60">
        <v>15.6159346188455</v>
      </c>
      <c r="B60">
        <v>3.3800999999999901E-2</v>
      </c>
      <c r="C60">
        <v>3.5572689407849897E-2</v>
      </c>
      <c r="D60">
        <v>300.00697325778702</v>
      </c>
      <c r="E60">
        <v>0.30499999999999899</v>
      </c>
      <c r="F60">
        <v>3.3800999999999901E-2</v>
      </c>
      <c r="G60">
        <v>0.16700000000000001</v>
      </c>
      <c r="AG60" s="6">
        <v>5.1145599999999902E-2</v>
      </c>
      <c r="AH60">
        <v>0.25916222226008101</v>
      </c>
    </row>
    <row r="61" spans="1:34">
      <c r="A61">
        <v>15.6159346188455</v>
      </c>
      <c r="B61">
        <v>3.4393999999999897E-2</v>
      </c>
      <c r="C61">
        <v>3.5572689407849897E-2</v>
      </c>
      <c r="D61">
        <v>300.00697325778702</v>
      </c>
      <c r="E61">
        <v>0.30499999999999899</v>
      </c>
      <c r="F61">
        <v>3.4393999999999897E-2</v>
      </c>
      <c r="G61">
        <v>0.16700000000000001</v>
      </c>
      <c r="AG61" s="7">
        <v>5.7538800000000001E-2</v>
      </c>
      <c r="AH61">
        <v>0.25916222226008101</v>
      </c>
    </row>
    <row r="62" spans="1:34">
      <c r="A62">
        <v>15.6159346188455</v>
      </c>
      <c r="B62">
        <v>3.49869999999999E-2</v>
      </c>
      <c r="C62">
        <v>3.5572689407849897E-2</v>
      </c>
      <c r="D62">
        <v>300.00697325778702</v>
      </c>
      <c r="E62">
        <v>0.30499999999999899</v>
      </c>
      <c r="F62">
        <v>3.49869999999999E-2</v>
      </c>
      <c r="G62">
        <v>0.16700000000000001</v>
      </c>
      <c r="AG62" s="7">
        <v>6.3931999999999906E-2</v>
      </c>
      <c r="AH62">
        <v>0.25916222226008101</v>
      </c>
    </row>
    <row r="63" spans="1:34">
      <c r="A63">
        <v>15.6159346188455</v>
      </c>
      <c r="B63">
        <v>3.5580000000000001E-2</v>
      </c>
      <c r="C63">
        <v>3.5572689407849897E-2</v>
      </c>
      <c r="D63">
        <v>300.00697325778702</v>
      </c>
      <c r="E63">
        <v>0.30499999999999899</v>
      </c>
      <c r="F63">
        <v>3.5580000000000001E-2</v>
      </c>
      <c r="G63">
        <v>0.16700000000000001</v>
      </c>
      <c r="AG63" s="6">
        <v>7.0325199999999893E-2</v>
      </c>
      <c r="AH63">
        <v>0.25997116629672001</v>
      </c>
    </row>
    <row r="64" spans="1:34">
      <c r="A64">
        <v>15.6159346188455</v>
      </c>
      <c r="B64">
        <v>3.61729999999999E-2</v>
      </c>
      <c r="C64">
        <v>3.5572689407849897E-2</v>
      </c>
      <c r="D64">
        <v>300.00697325778702</v>
      </c>
      <c r="E64">
        <v>0.30499999999999899</v>
      </c>
      <c r="F64">
        <v>3.61729999999999E-2</v>
      </c>
      <c r="G64">
        <v>0.16700000000000001</v>
      </c>
      <c r="AG64" s="7">
        <v>7.6718400000000006E-2</v>
      </c>
      <c r="AH64">
        <v>0.234197629672175</v>
      </c>
    </row>
    <row r="65" spans="1:34">
      <c r="A65">
        <v>15.6159346188455</v>
      </c>
      <c r="B65">
        <v>3.6766E-2</v>
      </c>
      <c r="C65">
        <v>3.5572689407849897E-2</v>
      </c>
      <c r="D65">
        <v>300.00697325778702</v>
      </c>
      <c r="E65">
        <v>0.30499999999999899</v>
      </c>
      <c r="F65">
        <v>3.6766E-2</v>
      </c>
      <c r="G65">
        <v>0.16700000000000001</v>
      </c>
      <c r="AG65" s="7">
        <v>8.3111599999999994E-2</v>
      </c>
      <c r="AH65">
        <v>0.234197629672175</v>
      </c>
    </row>
    <row r="66" spans="1:34">
      <c r="A66">
        <v>15.6159346188455</v>
      </c>
      <c r="B66">
        <v>3.7358999999999899E-2</v>
      </c>
      <c r="C66">
        <v>3.5572689407849897E-2</v>
      </c>
      <c r="D66">
        <v>300.00697325778702</v>
      </c>
      <c r="E66">
        <v>0.30499999999999899</v>
      </c>
      <c r="F66">
        <v>3.7358999999999899E-2</v>
      </c>
      <c r="G66">
        <v>0.16700000000000001</v>
      </c>
      <c r="AG66" s="6">
        <v>8.9504799999999898E-2</v>
      </c>
      <c r="AH66">
        <v>0.19635649331926899</v>
      </c>
    </row>
    <row r="67" spans="1:34">
      <c r="A67">
        <v>15.6159346188455</v>
      </c>
      <c r="B67">
        <v>3.7952E-2</v>
      </c>
      <c r="C67">
        <v>3.5572689407849897E-2</v>
      </c>
      <c r="D67">
        <v>300.00697325778702</v>
      </c>
      <c r="E67">
        <v>0.30499999999999899</v>
      </c>
      <c r="F67">
        <v>3.7952E-2</v>
      </c>
      <c r="G67">
        <v>0.16700000000000001</v>
      </c>
      <c r="AG67" s="7">
        <v>9.5897999999999997E-2</v>
      </c>
      <c r="AH67">
        <v>0.19635649331926899</v>
      </c>
    </row>
    <row r="68" spans="1:34">
      <c r="A68">
        <v>15.6159346188455</v>
      </c>
      <c r="B68">
        <v>3.8545000000000003E-2</v>
      </c>
      <c r="C68">
        <v>3.5572689407849897E-2</v>
      </c>
      <c r="D68">
        <v>300.00697325778702</v>
      </c>
      <c r="E68">
        <v>0.30499999999999899</v>
      </c>
      <c r="F68">
        <v>3.8545000000000003E-2</v>
      </c>
      <c r="G68">
        <v>0.16700000000000001</v>
      </c>
      <c r="AG68" s="7">
        <v>0.1022912</v>
      </c>
      <c r="AH68">
        <v>0.19823474413553999</v>
      </c>
    </row>
    <row r="69" spans="1:34">
      <c r="A69">
        <v>15.6159346188455</v>
      </c>
      <c r="B69">
        <v>3.9137999999999902E-2</v>
      </c>
      <c r="C69">
        <v>3.5572689407849897E-2</v>
      </c>
      <c r="D69">
        <v>300.00697325778702</v>
      </c>
      <c r="E69">
        <v>0.30499999999999899</v>
      </c>
      <c r="F69">
        <v>3.9137999999999902E-2</v>
      </c>
      <c r="G69">
        <v>0.16700000000000001</v>
      </c>
      <c r="AG69" s="6">
        <v>0.1086844</v>
      </c>
      <c r="AH69">
        <v>0.15308400361086699</v>
      </c>
    </row>
    <row r="70" spans="1:34">
      <c r="A70">
        <v>15.6159346188455</v>
      </c>
      <c r="B70">
        <v>3.9731000000000002E-2</v>
      </c>
      <c r="C70">
        <v>3.5572689407849897E-2</v>
      </c>
      <c r="D70">
        <v>300.00697325778702</v>
      </c>
      <c r="E70">
        <v>0.30499999999999899</v>
      </c>
      <c r="F70">
        <v>3.9731000000000002E-2</v>
      </c>
      <c r="G70">
        <v>0.16700000000000001</v>
      </c>
      <c r="AG70" s="7">
        <v>0.1150776</v>
      </c>
      <c r="AH70">
        <v>0.133086881888409</v>
      </c>
    </row>
    <row r="71" spans="1:34">
      <c r="A71">
        <v>15.6159346188455</v>
      </c>
      <c r="B71">
        <v>4.0323999999999902E-2</v>
      </c>
      <c r="C71">
        <v>3.5572689407849897E-2</v>
      </c>
      <c r="D71">
        <v>300.00697325778702</v>
      </c>
      <c r="E71">
        <v>0.30499999999999899</v>
      </c>
      <c r="F71">
        <v>4.0323999999999902E-2</v>
      </c>
      <c r="G71">
        <v>0.16700000000000001</v>
      </c>
      <c r="AG71" s="7">
        <v>0.121470799999999</v>
      </c>
      <c r="AH71">
        <v>0.133086881888409</v>
      </c>
    </row>
    <row r="72" spans="1:34">
      <c r="A72">
        <v>15.6159346188455</v>
      </c>
      <c r="B72">
        <v>4.0916999999999898E-2</v>
      </c>
      <c r="C72">
        <v>3.5572689407849897E-2</v>
      </c>
      <c r="D72">
        <v>300.00697325778702</v>
      </c>
      <c r="E72">
        <v>0.30499999999999899</v>
      </c>
      <c r="F72">
        <v>4.0916999999999898E-2</v>
      </c>
      <c r="G72">
        <v>0.16700000000000001</v>
      </c>
      <c r="AG72" s="7">
        <v>0.12786399999999901</v>
      </c>
      <c r="AH72">
        <v>0.133086881888409</v>
      </c>
    </row>
    <row r="73" spans="1:34">
      <c r="A73">
        <v>15.6159346188455</v>
      </c>
      <c r="B73">
        <v>4.1509999999999901E-2</v>
      </c>
      <c r="C73">
        <v>3.5572689407849897E-2</v>
      </c>
      <c r="D73">
        <v>300.00697325778702</v>
      </c>
      <c r="E73">
        <v>0.30499999999999899</v>
      </c>
      <c r="F73">
        <v>4.1509999999999901E-2</v>
      </c>
      <c r="G73">
        <v>0.16700000000000001</v>
      </c>
      <c r="AG73" s="7">
        <v>0.13425719999999899</v>
      </c>
      <c r="AH73">
        <v>9.6539640379030803E-2</v>
      </c>
    </row>
    <row r="74" spans="1:34">
      <c r="A74">
        <v>15.6159346188455</v>
      </c>
      <c r="B74">
        <v>4.2102999999999897E-2</v>
      </c>
      <c r="C74">
        <v>3.5572689407849897E-2</v>
      </c>
      <c r="D74">
        <v>300.00697325778702</v>
      </c>
      <c r="E74">
        <v>0.30499999999999899</v>
      </c>
      <c r="F74">
        <v>4.2102999999999897E-2</v>
      </c>
      <c r="G74">
        <v>0.16700000000000001</v>
      </c>
      <c r="AG74" s="6">
        <v>0.14065040000000001</v>
      </c>
      <c r="AH74">
        <v>9.6539640379030803E-2</v>
      </c>
    </row>
    <row r="75" spans="1:34">
      <c r="A75">
        <v>15.7453777476686</v>
      </c>
      <c r="B75">
        <v>4.2695999999999901E-2</v>
      </c>
      <c r="C75">
        <v>1.8798217145095199E-2</v>
      </c>
      <c r="D75">
        <v>300.004779752324</v>
      </c>
      <c r="E75">
        <v>0.30499999999999899</v>
      </c>
      <c r="F75">
        <v>4.2695999999999901E-2</v>
      </c>
      <c r="G75">
        <v>0.16700000000000001</v>
      </c>
      <c r="AG75" s="7">
        <v>0.1470436</v>
      </c>
      <c r="AH75">
        <v>6.9247012361477595E-2</v>
      </c>
    </row>
    <row r="76" spans="1:34">
      <c r="A76">
        <v>15.7453777476686</v>
      </c>
      <c r="B76">
        <v>4.3289000000000001E-2</v>
      </c>
      <c r="C76">
        <v>1.8798217145095199E-2</v>
      </c>
      <c r="D76">
        <v>300.004779752324</v>
      </c>
      <c r="E76">
        <v>0.30499999999999899</v>
      </c>
      <c r="F76">
        <v>4.3289000000000001E-2</v>
      </c>
      <c r="G76">
        <v>0.16700000000000001</v>
      </c>
      <c r="AG76" s="7">
        <v>0.15343679999999901</v>
      </c>
      <c r="AH76">
        <v>6.9247012361477595E-2</v>
      </c>
    </row>
    <row r="77" spans="1:34">
      <c r="A77">
        <v>15.7453777476686</v>
      </c>
      <c r="B77">
        <v>4.38819999999999E-2</v>
      </c>
      <c r="C77">
        <v>1.8798217145095199E-2</v>
      </c>
      <c r="D77">
        <v>300.004779752324</v>
      </c>
      <c r="E77">
        <v>0.30499999999999899</v>
      </c>
      <c r="F77">
        <v>4.38819999999999E-2</v>
      </c>
      <c r="G77">
        <v>0.16700000000000001</v>
      </c>
      <c r="AG77" s="6">
        <v>0.159829999999999</v>
      </c>
      <c r="AH77">
        <v>1.9153880266429502E-2</v>
      </c>
    </row>
    <row r="78" spans="1:34">
      <c r="A78">
        <v>15.7453777476686</v>
      </c>
      <c r="B78">
        <v>4.4475000000000001E-2</v>
      </c>
      <c r="C78">
        <v>1.8798217145095199E-2</v>
      </c>
      <c r="D78">
        <v>300.004779752324</v>
      </c>
      <c r="E78">
        <v>0.30499999999999899</v>
      </c>
      <c r="F78">
        <v>4.4475000000000001E-2</v>
      </c>
      <c r="G78">
        <v>0.16700000000000001</v>
      </c>
      <c r="AG78" s="7">
        <v>0.16622319999999999</v>
      </c>
      <c r="AH78">
        <v>1.9153880266429502E-2</v>
      </c>
    </row>
    <row r="79" spans="1:34">
      <c r="A79">
        <v>15.7453777476686</v>
      </c>
      <c r="B79">
        <v>4.50679999999999E-2</v>
      </c>
      <c r="C79">
        <v>1.8798217145095199E-2</v>
      </c>
      <c r="D79">
        <v>300.004779752324</v>
      </c>
      <c r="E79">
        <v>0.30499999999999899</v>
      </c>
      <c r="F79">
        <v>4.50679999999999E-2</v>
      </c>
      <c r="G79">
        <v>0.16700000000000001</v>
      </c>
      <c r="AG79" s="7">
        <v>0.1726164</v>
      </c>
      <c r="AH79">
        <v>1.9153880266429502E-2</v>
      </c>
    </row>
    <row r="80" spans="1:34">
      <c r="A80">
        <v>15.7453777476686</v>
      </c>
      <c r="B80">
        <v>4.5661E-2</v>
      </c>
      <c r="C80">
        <v>1.8798217145095199E-2</v>
      </c>
      <c r="D80">
        <v>300.004779752324</v>
      </c>
      <c r="E80">
        <v>0.30499999999999899</v>
      </c>
      <c r="F80">
        <v>4.5661E-2</v>
      </c>
      <c r="G80">
        <v>0.16700000000000001</v>
      </c>
      <c r="AG80" s="6">
        <v>0.17900959999999899</v>
      </c>
      <c r="AH80">
        <v>-4.00799253943947E-2</v>
      </c>
    </row>
    <row r="81" spans="1:34">
      <c r="A81">
        <v>15.7453777476686</v>
      </c>
      <c r="B81">
        <v>4.6254000000000003E-2</v>
      </c>
      <c r="C81">
        <v>1.8798217145095199E-2</v>
      </c>
      <c r="D81">
        <v>300.004779752324</v>
      </c>
      <c r="E81">
        <v>0.30499999999999899</v>
      </c>
      <c r="F81">
        <v>4.6254000000000003E-2</v>
      </c>
      <c r="G81">
        <v>0.16700000000000001</v>
      </c>
      <c r="AG81" s="7">
        <v>0.18540280000000001</v>
      </c>
      <c r="AH81">
        <v>-4.00799253943947E-2</v>
      </c>
    </row>
    <row r="82" spans="1:34">
      <c r="A82">
        <v>15.7453777476686</v>
      </c>
      <c r="B82">
        <v>4.6847E-2</v>
      </c>
      <c r="C82">
        <v>1.8798217145095199E-2</v>
      </c>
      <c r="D82">
        <v>300.004779752324</v>
      </c>
      <c r="E82">
        <v>0.30499999999999899</v>
      </c>
      <c r="F82">
        <v>4.6847E-2</v>
      </c>
      <c r="G82">
        <v>0.16700000000000001</v>
      </c>
      <c r="AG82" s="7">
        <v>0.19179599999999999</v>
      </c>
      <c r="AH82">
        <v>-4.00799253943947E-2</v>
      </c>
    </row>
    <row r="83" spans="1:34">
      <c r="A83">
        <v>15.7453777476686</v>
      </c>
      <c r="B83">
        <v>4.7440000000000003E-2</v>
      </c>
      <c r="C83">
        <v>1.8798217145095199E-2</v>
      </c>
      <c r="D83">
        <v>300.004779752324</v>
      </c>
      <c r="E83">
        <v>0.30499999999999899</v>
      </c>
      <c r="F83">
        <v>4.7440000000000003E-2</v>
      </c>
      <c r="G83">
        <v>0.16700000000000001</v>
      </c>
      <c r="AG83" s="7">
        <v>0.19818920000000001</v>
      </c>
      <c r="AH83">
        <v>-4.00799253943947E-2</v>
      </c>
    </row>
    <row r="84" spans="1:34">
      <c r="A84">
        <v>15.7453777476686</v>
      </c>
      <c r="B84">
        <v>4.8032999999999902E-2</v>
      </c>
      <c r="C84">
        <v>1.8798217145095199E-2</v>
      </c>
      <c r="D84">
        <v>300.004779752324</v>
      </c>
      <c r="E84">
        <v>0.30499999999999899</v>
      </c>
      <c r="F84">
        <v>4.8032999999999902E-2</v>
      </c>
      <c r="G84">
        <v>0.16700000000000001</v>
      </c>
      <c r="AG84" s="7">
        <v>0.2045824</v>
      </c>
      <c r="AH84">
        <v>-9.5846278002778396E-2</v>
      </c>
    </row>
    <row r="85" spans="1:34">
      <c r="A85">
        <v>15.7453777476686</v>
      </c>
      <c r="B85">
        <v>4.8625999999999898E-2</v>
      </c>
      <c r="C85">
        <v>1.8798217145095199E-2</v>
      </c>
      <c r="D85">
        <v>300.004779752324</v>
      </c>
      <c r="E85">
        <v>0.30499999999999899</v>
      </c>
      <c r="F85">
        <v>4.8625999999999898E-2</v>
      </c>
      <c r="G85">
        <v>0.16700000000000001</v>
      </c>
      <c r="AG85" s="6">
        <v>0.21097559999999899</v>
      </c>
      <c r="AH85">
        <v>-9.5846278002778396E-2</v>
      </c>
    </row>
    <row r="86" spans="1:34">
      <c r="A86">
        <v>15.7453777476686</v>
      </c>
      <c r="B86">
        <v>4.9218999999999902E-2</v>
      </c>
      <c r="C86">
        <v>1.8798217145095199E-2</v>
      </c>
      <c r="D86">
        <v>300.004779752324</v>
      </c>
      <c r="E86">
        <v>0.30499999999999899</v>
      </c>
      <c r="F86">
        <v>4.9218999999999902E-2</v>
      </c>
      <c r="G86">
        <v>0.16700000000000001</v>
      </c>
      <c r="AG86" s="7">
        <v>0.217368799999999</v>
      </c>
      <c r="AH86">
        <v>-0.155826278432806</v>
      </c>
    </row>
    <row r="87" spans="1:34">
      <c r="A87">
        <v>15.7453777476686</v>
      </c>
      <c r="B87">
        <v>4.9811999999999898E-2</v>
      </c>
      <c r="C87">
        <v>1.8798217145095199E-2</v>
      </c>
      <c r="D87">
        <v>300.004779752324</v>
      </c>
      <c r="E87">
        <v>0.30499999999999899</v>
      </c>
      <c r="F87">
        <v>4.9811999999999898E-2</v>
      </c>
      <c r="G87">
        <v>0.16700000000000001</v>
      </c>
      <c r="AG87" s="7">
        <v>0.22376199999999899</v>
      </c>
      <c r="AH87">
        <v>-0.155826278432806</v>
      </c>
    </row>
    <row r="88" spans="1:34">
      <c r="A88">
        <v>15.7453777476686</v>
      </c>
      <c r="B88">
        <v>5.0404999999999901E-2</v>
      </c>
      <c r="C88">
        <v>1.8798217145095199E-2</v>
      </c>
      <c r="D88">
        <v>300.004779752324</v>
      </c>
      <c r="E88">
        <v>0.30499999999999899</v>
      </c>
      <c r="F88">
        <v>5.0404999999999901E-2</v>
      </c>
      <c r="G88">
        <v>0.16700000000000001</v>
      </c>
      <c r="AG88" s="6">
        <v>0.23015519999999901</v>
      </c>
      <c r="AH88">
        <v>-0.155826278432806</v>
      </c>
    </row>
    <row r="89" spans="1:34">
      <c r="A89">
        <v>15.7453777476686</v>
      </c>
      <c r="B89">
        <v>5.0997999999999898E-2</v>
      </c>
      <c r="C89">
        <v>1.8798217145095199E-2</v>
      </c>
      <c r="D89">
        <v>300.004779752324</v>
      </c>
      <c r="E89">
        <v>0.30499999999999899</v>
      </c>
      <c r="F89">
        <v>5.0997999999999898E-2</v>
      </c>
      <c r="G89">
        <v>0.16700000000000001</v>
      </c>
      <c r="AG89" s="7">
        <v>0.23654839999999999</v>
      </c>
      <c r="AH89">
        <v>-0.18758838262195399</v>
      </c>
    </row>
    <row r="90" spans="1:34">
      <c r="A90">
        <v>15.7453777476686</v>
      </c>
      <c r="B90">
        <v>5.1590999999999901E-2</v>
      </c>
      <c r="C90">
        <v>1.8798217145095199E-2</v>
      </c>
      <c r="D90">
        <v>300.004779752324</v>
      </c>
      <c r="E90">
        <v>0.30499999999999899</v>
      </c>
      <c r="F90">
        <v>5.1590999999999901E-2</v>
      </c>
      <c r="G90">
        <v>0.16700000000000001</v>
      </c>
      <c r="AG90" s="7">
        <v>0.24294160000000001</v>
      </c>
      <c r="AH90">
        <v>-0.21231299429544101</v>
      </c>
    </row>
    <row r="91" spans="1:34">
      <c r="A91">
        <v>15.7453777476686</v>
      </c>
      <c r="B91">
        <v>5.2184000000000001E-2</v>
      </c>
      <c r="C91">
        <v>1.8798217145095199E-2</v>
      </c>
      <c r="D91">
        <v>300.004779752324</v>
      </c>
      <c r="E91">
        <v>0.30499999999999899</v>
      </c>
      <c r="F91">
        <v>5.2184000000000001E-2</v>
      </c>
      <c r="G91">
        <v>0.16700000000000001</v>
      </c>
      <c r="AG91" s="6">
        <v>0.2493348</v>
      </c>
      <c r="AH91">
        <v>-0.21231299429544101</v>
      </c>
    </row>
    <row r="92" spans="1:34">
      <c r="A92">
        <v>15.7453777476686</v>
      </c>
      <c r="B92">
        <v>5.27769999999999E-2</v>
      </c>
      <c r="C92">
        <v>1.8798217145095199E-2</v>
      </c>
      <c r="D92">
        <v>300.004779752324</v>
      </c>
      <c r="E92">
        <v>0.30499999999999899</v>
      </c>
      <c r="F92">
        <v>5.27769999999999E-2</v>
      </c>
      <c r="G92">
        <v>0.16700000000000001</v>
      </c>
      <c r="AG92" s="7">
        <v>0.25572800000000001</v>
      </c>
      <c r="AH92">
        <v>-0.26245698812250201</v>
      </c>
    </row>
    <row r="93" spans="1:34">
      <c r="A93">
        <v>15.7453777476686</v>
      </c>
      <c r="B93">
        <v>5.3370000000000001E-2</v>
      </c>
      <c r="C93">
        <v>1.8798217145095199E-2</v>
      </c>
      <c r="D93">
        <v>300.004779752324</v>
      </c>
      <c r="E93">
        <v>0.30499999999999899</v>
      </c>
      <c r="F93">
        <v>5.3370000000000001E-2</v>
      </c>
      <c r="G93">
        <v>0.16700000000000001</v>
      </c>
      <c r="AG93" s="7">
        <v>0.2621212</v>
      </c>
      <c r="AH93">
        <v>-0.26245698812250201</v>
      </c>
    </row>
    <row r="94" spans="1:34">
      <c r="A94">
        <v>15.7453777476686</v>
      </c>
      <c r="B94">
        <v>5.39629999999999E-2</v>
      </c>
      <c r="C94">
        <v>1.8798217145095199E-2</v>
      </c>
      <c r="D94">
        <v>300.004779752324</v>
      </c>
      <c r="E94">
        <v>0.30499999999999899</v>
      </c>
      <c r="F94">
        <v>5.39629999999999E-2</v>
      </c>
      <c r="G94">
        <v>0.16700000000000001</v>
      </c>
      <c r="AG94" s="7">
        <v>0.26851439999999899</v>
      </c>
      <c r="AH94">
        <v>-0.30997815358572101</v>
      </c>
    </row>
    <row r="95" spans="1:34">
      <c r="A95">
        <v>15.7453777476686</v>
      </c>
      <c r="B95">
        <v>5.4556E-2</v>
      </c>
      <c r="C95">
        <v>1.8798217145095199E-2</v>
      </c>
      <c r="D95">
        <v>300.004779752324</v>
      </c>
      <c r="E95">
        <v>0.30499999999999899</v>
      </c>
      <c r="F95">
        <v>5.4556E-2</v>
      </c>
      <c r="G95">
        <v>0.16700000000000001</v>
      </c>
      <c r="AG95" s="7">
        <v>0.27490759999999997</v>
      </c>
      <c r="AH95">
        <v>-0.30997815358572101</v>
      </c>
    </row>
    <row r="96" spans="1:34">
      <c r="A96">
        <v>15.7453777476686</v>
      </c>
      <c r="B96">
        <v>5.5148999999999997E-2</v>
      </c>
      <c r="C96">
        <v>1.8798217145095199E-2</v>
      </c>
      <c r="D96">
        <v>300.004779752324</v>
      </c>
      <c r="E96">
        <v>0.30499999999999899</v>
      </c>
      <c r="F96">
        <v>5.5148999999999997E-2</v>
      </c>
      <c r="G96">
        <v>0.16700000000000001</v>
      </c>
      <c r="AG96" s="6">
        <v>0.28130079999999902</v>
      </c>
      <c r="AH96">
        <v>-0.35612026917609102</v>
      </c>
    </row>
    <row r="97" spans="1:34">
      <c r="A97">
        <v>15.7453777476686</v>
      </c>
      <c r="B97">
        <v>5.5741999999999903E-2</v>
      </c>
      <c r="C97">
        <v>1.8798217145095199E-2</v>
      </c>
      <c r="D97">
        <v>300.004779752324</v>
      </c>
      <c r="E97">
        <v>0.30499999999999899</v>
      </c>
      <c r="F97">
        <v>5.5741999999999903E-2</v>
      </c>
      <c r="G97">
        <v>0.16700000000000001</v>
      </c>
      <c r="AG97" s="6">
        <v>0.28769399999999901</v>
      </c>
      <c r="AH97">
        <v>-0.35612026917609102</v>
      </c>
    </row>
    <row r="98" spans="1:34">
      <c r="A98">
        <v>15.7453777476686</v>
      </c>
      <c r="B98">
        <v>5.6334999999999899E-2</v>
      </c>
      <c r="C98">
        <v>1.8798217145095199E-2</v>
      </c>
      <c r="D98">
        <v>300.004779752324</v>
      </c>
      <c r="E98">
        <v>0.30499999999999899</v>
      </c>
      <c r="F98">
        <v>5.6334999999999899E-2</v>
      </c>
      <c r="G98">
        <v>0.16700000000000001</v>
      </c>
      <c r="AG98" s="6">
        <v>0.29408719999999899</v>
      </c>
      <c r="AH98">
        <v>-0.42065809312235503</v>
      </c>
    </row>
    <row r="99" spans="1:34">
      <c r="A99">
        <v>15.7453777476686</v>
      </c>
      <c r="B99">
        <v>5.6927999999999902E-2</v>
      </c>
      <c r="C99">
        <v>1.8798217145095199E-2</v>
      </c>
      <c r="D99">
        <v>300.004779752324</v>
      </c>
      <c r="E99">
        <v>0.30499999999999899</v>
      </c>
      <c r="F99">
        <v>5.6927999999999902E-2</v>
      </c>
      <c r="G99">
        <v>0.16700000000000001</v>
      </c>
      <c r="AG99" s="6">
        <v>0.30048039999999998</v>
      </c>
      <c r="AH99">
        <v>-0.42065809312235503</v>
      </c>
    </row>
    <row r="100" spans="1:34">
      <c r="A100">
        <v>15.7453777476686</v>
      </c>
      <c r="B100">
        <v>5.7520999999999899E-2</v>
      </c>
      <c r="C100">
        <v>1.8798217145095199E-2</v>
      </c>
      <c r="D100">
        <v>300.004779752324</v>
      </c>
      <c r="E100">
        <v>0.30499999999999899</v>
      </c>
      <c r="F100">
        <v>5.7520999999999899E-2</v>
      </c>
      <c r="G100">
        <v>0.16700000000000001</v>
      </c>
      <c r="AG100" s="6">
        <v>0.30687360000000002</v>
      </c>
      <c r="AH100">
        <v>-0.46192023935021598</v>
      </c>
    </row>
    <row r="101" spans="1:34">
      <c r="A101">
        <v>15.7453777476686</v>
      </c>
      <c r="B101">
        <v>5.8113999999999902E-2</v>
      </c>
      <c r="C101">
        <v>1.8798217145095199E-2</v>
      </c>
      <c r="D101">
        <v>300.004779752324</v>
      </c>
      <c r="E101">
        <v>0.30499999999999899</v>
      </c>
      <c r="F101">
        <v>5.8113999999999902E-2</v>
      </c>
      <c r="G101">
        <v>0.16700000000000001</v>
      </c>
      <c r="AG101" s="6">
        <v>0.31326680000000001</v>
      </c>
      <c r="AH101">
        <v>-0.48740569131688199</v>
      </c>
    </row>
    <row r="102" spans="1:34">
      <c r="A102">
        <v>15.7453777476686</v>
      </c>
      <c r="B102">
        <v>5.8706999999999898E-2</v>
      </c>
      <c r="C102">
        <v>1.8798217145095199E-2</v>
      </c>
      <c r="D102">
        <v>300.004779752324</v>
      </c>
      <c r="E102">
        <v>0.30499999999999899</v>
      </c>
      <c r="F102">
        <v>5.8706999999999898E-2</v>
      </c>
      <c r="G102">
        <v>0.16700000000000001</v>
      </c>
      <c r="AG102" s="6">
        <v>0.31966</v>
      </c>
      <c r="AH102">
        <v>-0.50975298585577</v>
      </c>
    </row>
    <row r="103" spans="1:34">
      <c r="A103">
        <v>15.7453777476686</v>
      </c>
      <c r="B103">
        <v>5.9299999999999901E-2</v>
      </c>
      <c r="C103">
        <v>1.8798217145095199E-2</v>
      </c>
      <c r="D103">
        <v>300.004779752324</v>
      </c>
      <c r="E103">
        <v>0.30499999999999899</v>
      </c>
      <c r="F103">
        <v>5.9299999999999901E-2</v>
      </c>
      <c r="G103">
        <v>0.16700000000000001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09D276-B3A8-43F5-9A0B-600E8242DB97}">
  <dimension ref="A1:AK103"/>
  <sheetViews>
    <sheetView topLeftCell="M22" zoomScale="62" zoomScaleNormal="62" workbookViewId="0">
      <selection activeCell="AN38" sqref="AN38"/>
    </sheetView>
  </sheetViews>
  <sheetFormatPr defaultRowHeight="14.25"/>
  <sheetData>
    <row r="1" spans="1:37">
      <c r="A1" t="s">
        <v>7</v>
      </c>
      <c r="I1" t="s">
        <v>8</v>
      </c>
      <c r="W1" t="s">
        <v>19</v>
      </c>
      <c r="AE1" s="2" t="s">
        <v>31</v>
      </c>
      <c r="AF1" t="s">
        <v>32</v>
      </c>
      <c r="AG1" t="s">
        <v>33</v>
      </c>
      <c r="AH1" t="s">
        <v>34</v>
      </c>
      <c r="AJ1" t="s">
        <v>35</v>
      </c>
      <c r="AK1" t="s">
        <v>36</v>
      </c>
    </row>
    <row r="2" spans="1:37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I2" s="2"/>
      <c r="J2" t="s">
        <v>22</v>
      </c>
      <c r="K2" t="s">
        <v>23</v>
      </c>
      <c r="L2" t="s">
        <v>11</v>
      </c>
      <c r="M2" t="s">
        <v>12</v>
      </c>
      <c r="N2" t="s">
        <v>24</v>
      </c>
      <c r="O2" t="s">
        <v>14</v>
      </c>
      <c r="P2" t="s">
        <v>15</v>
      </c>
      <c r="Q2" t="s">
        <v>16</v>
      </c>
      <c r="R2" t="s">
        <v>17</v>
      </c>
      <c r="T2" t="s">
        <v>25</v>
      </c>
      <c r="U2" t="s">
        <v>26</v>
      </c>
      <c r="W2" t="s">
        <v>5</v>
      </c>
      <c r="X2" t="s">
        <v>27</v>
      </c>
      <c r="Y2" t="s">
        <v>28</v>
      </c>
      <c r="Z2" t="s">
        <v>29</v>
      </c>
      <c r="AA2" t="s">
        <v>30</v>
      </c>
      <c r="AB2" t="s">
        <v>7</v>
      </c>
      <c r="AC2" t="s">
        <v>8</v>
      </c>
      <c r="AE2" s="2">
        <v>-10</v>
      </c>
      <c r="AF2">
        <v>0.28881000000000001</v>
      </c>
      <c r="AG2" s="6">
        <v>-0.34236</v>
      </c>
      <c r="AH2" s="5">
        <v>-0.66870973455593996</v>
      </c>
      <c r="AI2">
        <f>AE2/100</f>
        <v>-0.1</v>
      </c>
      <c r="AJ2" s="9">
        <f>AH37+(AI2-AG37)*(AH38-AH37)/(AG38-AG37)</f>
        <v>0.31015912816138302</v>
      </c>
      <c r="AK2">
        <v>0.28881000000000001</v>
      </c>
    </row>
    <row r="3" spans="1:37">
      <c r="A3">
        <v>7.5495131513672398</v>
      </c>
      <c r="B3">
        <v>0</v>
      </c>
      <c r="C3">
        <v>5.7267964476958996E-3</v>
      </c>
      <c r="D3">
        <v>305.29717148672898</v>
      </c>
      <c r="E3">
        <v>0.38100000000000001</v>
      </c>
      <c r="F3">
        <v>0</v>
      </c>
      <c r="G3">
        <v>0.184</v>
      </c>
      <c r="I3" s="2"/>
      <c r="J3">
        <v>4.1000000000000002E-2</v>
      </c>
      <c r="K3">
        <v>0.113357</v>
      </c>
      <c r="L3">
        <v>0.21038999999999999</v>
      </c>
      <c r="M3">
        <v>0.60612999999999995</v>
      </c>
      <c r="N3">
        <v>16.02561</v>
      </c>
      <c r="O3">
        <v>2.9705300000000001</v>
      </c>
      <c r="P3">
        <v>5.0477299999999996</v>
      </c>
      <c r="Q3">
        <v>5.8569300000000002</v>
      </c>
      <c r="R3">
        <v>59.524000000000001</v>
      </c>
      <c r="S3" s="2">
        <f>T3/100</f>
        <v>0</v>
      </c>
      <c r="T3">
        <v>0</v>
      </c>
      <c r="U3">
        <v>46.332999999999998</v>
      </c>
      <c r="W3">
        <v>5.5000000000000003E-4</v>
      </c>
      <c r="X3">
        <f>A3+(W3-B3)*(A4-A3)/(B4-B3)</f>
        <v>7.5495131513672398</v>
      </c>
      <c r="Y3">
        <f>O3</f>
        <v>2.9705300000000001</v>
      </c>
      <c r="Z3" s="4">
        <f>C3+(W3-B3)*(C4-C3)/(B4-B3)</f>
        <v>5.7267964476958996E-3</v>
      </c>
      <c r="AA3">
        <f>P3</f>
        <v>5.0477299999999996</v>
      </c>
      <c r="AB3">
        <f>D3+(W3-B3)*(D4-D3)/(B4-B3)</f>
        <v>305.29717148672898</v>
      </c>
      <c r="AC3">
        <f>(U6+(W3-S6)*(U7-U6)/(S7-S6))+273</f>
        <v>310.1096769230769</v>
      </c>
      <c r="AE3" s="2">
        <v>-9</v>
      </c>
      <c r="AF3">
        <v>0.31213999999999997</v>
      </c>
      <c r="AG3" s="6">
        <v>-0.3355128</v>
      </c>
      <c r="AH3" s="5">
        <v>-0.64300544117643799</v>
      </c>
      <c r="AI3">
        <f t="shared" ref="AI3:AI39" si="0">AE3/100</f>
        <v>-0.09</v>
      </c>
      <c r="AJ3" s="9">
        <f>AH39</f>
        <v>0.31015912816138302</v>
      </c>
      <c r="AK3">
        <v>0.31213999999999997</v>
      </c>
    </row>
    <row r="4" spans="1:37">
      <c r="A4">
        <v>7.5495131513672398</v>
      </c>
      <c r="B4">
        <v>5.9299999999999902E-4</v>
      </c>
      <c r="C4">
        <v>5.7267964476958996E-3</v>
      </c>
      <c r="D4">
        <v>305.29717148672898</v>
      </c>
      <c r="E4">
        <v>0.38100000000000001</v>
      </c>
      <c r="F4">
        <v>5.9299999999999902E-4</v>
      </c>
      <c r="G4">
        <v>0.184</v>
      </c>
      <c r="I4" s="2"/>
      <c r="J4">
        <v>0.05</v>
      </c>
      <c r="K4">
        <v>0.113357</v>
      </c>
      <c r="L4">
        <v>0.21038999999999999</v>
      </c>
      <c r="M4">
        <v>0.60612999999999995</v>
      </c>
      <c r="N4">
        <v>16.02046</v>
      </c>
      <c r="O4">
        <v>3.1502699999999999</v>
      </c>
      <c r="P4">
        <v>5.25176</v>
      </c>
      <c r="Q4">
        <v>6.1241500000000002</v>
      </c>
      <c r="R4">
        <v>59.042999999999999</v>
      </c>
      <c r="S4" s="2">
        <f t="shared" ref="S4:S28" si="1">T4/100</f>
        <v>3.5999999999999997E-4</v>
      </c>
      <c r="T4">
        <v>3.5999999999999997E-2</v>
      </c>
      <c r="U4">
        <v>37.766199999999998</v>
      </c>
      <c r="W4">
        <v>6.4999999999999997E-4</v>
      </c>
      <c r="X4">
        <f>A4+(W4-B4)*(A5-A4)/(B5-B4)</f>
        <v>7.7838355030320656</v>
      </c>
      <c r="Y4">
        <f t="shared" ref="Y4:Y27" si="2">O4</f>
        <v>3.1502699999999999</v>
      </c>
      <c r="Z4" s="4">
        <f>C4+(W4-B4)*(C5-C4)/(B5-B4)</f>
        <v>7.1518722891391303E-3</v>
      </c>
      <c r="AA4">
        <f t="shared" ref="AA4:AA27" si="3">P4</f>
        <v>5.25176</v>
      </c>
      <c r="AB4">
        <f>D4+(W4-B4)*(D5-D4)/(B5-B4)</f>
        <v>305.09053913983479</v>
      </c>
      <c r="AC4">
        <f t="shared" ref="AC4:AC11" si="4">(U6+(W4-S6)*(U7-U6)/(S7-S6))+273</f>
        <v>309.85144615384615</v>
      </c>
      <c r="AE4" s="2">
        <v>-8</v>
      </c>
      <c r="AF4">
        <v>0.33552999999999999</v>
      </c>
      <c r="AG4" s="6">
        <v>-0.3286656</v>
      </c>
      <c r="AH4" s="5">
        <v>-0.58846980079812405</v>
      </c>
      <c r="AI4">
        <f t="shared" si="0"/>
        <v>-0.08</v>
      </c>
      <c r="AJ4" s="9">
        <f>AH40+(AI4-AG40)*(AH41-AH40)/(AG41-AG40)</f>
        <v>0.36409514887850403</v>
      </c>
      <c r="AK4">
        <v>0.33552999999999999</v>
      </c>
    </row>
    <row r="5" spans="1:37">
      <c r="A5">
        <v>9.9872877923714398</v>
      </c>
      <c r="B5">
        <v>1.186E-3</v>
      </c>
      <c r="C5">
        <v>2.0552585464815601E-2</v>
      </c>
      <c r="D5">
        <v>303.14747005325103</v>
      </c>
      <c r="E5">
        <v>0.38100000000000001</v>
      </c>
      <c r="F5">
        <v>1.186E-3</v>
      </c>
      <c r="G5">
        <v>0.184</v>
      </c>
      <c r="I5" s="2"/>
      <c r="J5">
        <v>6.3E-2</v>
      </c>
      <c r="K5">
        <v>0.113357</v>
      </c>
      <c r="L5">
        <v>0.21038999999999999</v>
      </c>
      <c r="M5">
        <v>0.60612999999999995</v>
      </c>
      <c r="N5">
        <v>16.016729999999999</v>
      </c>
      <c r="O5">
        <v>3.54583</v>
      </c>
      <c r="P5">
        <v>5.5945099999999996</v>
      </c>
      <c r="Q5">
        <v>6.6235499999999998</v>
      </c>
      <c r="R5">
        <v>57.633000000000003</v>
      </c>
      <c r="S5" s="2">
        <f t="shared" si="1"/>
        <v>4.3999999999999996E-4</v>
      </c>
      <c r="T5">
        <v>4.3999999999999997E-2</v>
      </c>
      <c r="U5">
        <v>37.547400000000003</v>
      </c>
      <c r="W5">
        <v>7.6999999999999996E-4</v>
      </c>
      <c r="X5">
        <f>A4+(W5-B4)*(A5-A4)/(B5-B4)</f>
        <v>8.2771457170632683</v>
      </c>
      <c r="Y5">
        <f t="shared" si="2"/>
        <v>3.54583</v>
      </c>
      <c r="Z5" s="4">
        <f>C4+(W5-B4)*(C5-C4)/(B5-B4)</f>
        <v>1.0152031955335355E-2</v>
      </c>
      <c r="AA5">
        <f t="shared" si="3"/>
        <v>5.5945099999999996</v>
      </c>
      <c r="AB5">
        <f>D4+(W5-B4)*(D5-D4)/(B5-B4)</f>
        <v>304.65552367268918</v>
      </c>
      <c r="AC5">
        <f t="shared" si="4"/>
        <v>309.53542500000003</v>
      </c>
      <c r="AE5" s="2">
        <v>-7</v>
      </c>
      <c r="AF5">
        <v>0.35343000000000002</v>
      </c>
      <c r="AG5" s="6">
        <v>-0.3218184</v>
      </c>
      <c r="AH5" s="5">
        <v>-0.53671549586318401</v>
      </c>
      <c r="AI5">
        <f t="shared" si="0"/>
        <v>-7.0000000000000007E-2</v>
      </c>
      <c r="AJ5" s="9">
        <f>AH42</f>
        <v>0.42062504016364</v>
      </c>
      <c r="AK5">
        <v>0.35343000000000002</v>
      </c>
    </row>
    <row r="6" spans="1:37">
      <c r="A6">
        <v>9.9872877923714398</v>
      </c>
      <c r="B6">
        <v>1.779E-3</v>
      </c>
      <c r="C6">
        <v>2.0552585464815601E-2</v>
      </c>
      <c r="D6">
        <v>303.14747005325103</v>
      </c>
      <c r="E6">
        <v>0.38100000000000001</v>
      </c>
      <c r="F6">
        <v>1.779E-3</v>
      </c>
      <c r="G6">
        <v>0.184</v>
      </c>
      <c r="I6" s="2"/>
      <c r="J6">
        <v>7.8E-2</v>
      </c>
      <c r="K6">
        <v>0.113357</v>
      </c>
      <c r="L6">
        <v>0.21038999999999999</v>
      </c>
      <c r="M6">
        <v>0.60612999999999995</v>
      </c>
      <c r="N6">
        <v>16.026160000000001</v>
      </c>
      <c r="O6">
        <v>3.8060999999999998</v>
      </c>
      <c r="P6">
        <v>5.8950100000000001</v>
      </c>
      <c r="Q6">
        <v>7.01694</v>
      </c>
      <c r="R6">
        <v>57.152000000000001</v>
      </c>
      <c r="S6" s="2">
        <f t="shared" si="1"/>
        <v>5.4000000000000001E-4</v>
      </c>
      <c r="T6">
        <v>5.3999999999999999E-2</v>
      </c>
      <c r="U6">
        <v>37.1355</v>
      </c>
      <c r="W6">
        <v>9.2000000000000003E-4</v>
      </c>
      <c r="X6">
        <f>A4+(W6-B4)*(A5-A4)/(B5-B4)</f>
        <v>8.8937834846022721</v>
      </c>
      <c r="Y6">
        <f t="shared" si="2"/>
        <v>3.8060999999999998</v>
      </c>
      <c r="Z6" s="4">
        <f>C4+(W6-B4)*(C5-C4)/(B5-B4)</f>
        <v>1.3902231538080637E-2</v>
      </c>
      <c r="AA6">
        <f t="shared" si="3"/>
        <v>5.8950100000000001</v>
      </c>
      <c r="AB6">
        <f>D4+(W6-B4)*(D5-D4)/(B5-B4)</f>
        <v>304.11175433875718</v>
      </c>
      <c r="AC6">
        <f t="shared" si="4"/>
        <v>309.17263500000001</v>
      </c>
      <c r="AE6" s="2">
        <v>-6</v>
      </c>
      <c r="AF6">
        <v>0.378</v>
      </c>
      <c r="AG6" s="6">
        <v>-0.31497120000000001</v>
      </c>
      <c r="AH6" s="5">
        <v>-0.53671549586318401</v>
      </c>
      <c r="AI6">
        <f t="shared" si="0"/>
        <v>-0.06</v>
      </c>
      <c r="AJ6" s="9">
        <f>AH43</f>
        <v>0.41811304857541198</v>
      </c>
      <c r="AK6">
        <v>0.378</v>
      </c>
    </row>
    <row r="7" spans="1:37">
      <c r="A7">
        <v>11.461013184853901</v>
      </c>
      <c r="B7">
        <v>2.372E-3</v>
      </c>
      <c r="C7">
        <v>3.9637399145105501E-2</v>
      </c>
      <c r="D7">
        <v>302.07015531245497</v>
      </c>
      <c r="E7">
        <v>0.38100000000000001</v>
      </c>
      <c r="F7">
        <v>2.372E-3</v>
      </c>
      <c r="G7">
        <v>0.184</v>
      </c>
      <c r="I7" s="2"/>
      <c r="J7">
        <v>9.7000000000000003E-2</v>
      </c>
      <c r="K7">
        <v>0.113357</v>
      </c>
      <c r="L7">
        <v>0.21038999999999999</v>
      </c>
      <c r="M7">
        <v>0.60612999999999995</v>
      </c>
      <c r="N7">
        <v>16.021519999999999</v>
      </c>
      <c r="O7">
        <v>4.0380200000000004</v>
      </c>
      <c r="P7">
        <v>6.1171300000000004</v>
      </c>
      <c r="Q7">
        <v>7.3297299999999996</v>
      </c>
      <c r="R7">
        <v>56.570999999999998</v>
      </c>
      <c r="S7" s="2">
        <f t="shared" si="1"/>
        <v>6.7000000000000002E-4</v>
      </c>
      <c r="T7">
        <v>6.7000000000000004E-2</v>
      </c>
      <c r="U7">
        <v>36.799799999999998</v>
      </c>
      <c r="W7">
        <v>1.1200000000000001E-3</v>
      </c>
      <c r="X7">
        <f>A4+(W7-B4)*(A5-A4)/(B5-B4)</f>
        <v>9.7159671746542777</v>
      </c>
      <c r="Y7">
        <f t="shared" si="2"/>
        <v>4.0380200000000004</v>
      </c>
      <c r="Z7" s="4">
        <f>C4+(W7-B4)*(C5-C4)/(B5-B4)</f>
        <v>1.8902497648407679E-2</v>
      </c>
      <c r="AA7">
        <f t="shared" si="3"/>
        <v>6.1171300000000004</v>
      </c>
      <c r="AB7">
        <f>D4+(W7-B4)*(D5-D4)/(B5-B4)</f>
        <v>303.3867285601811</v>
      </c>
      <c r="AC7">
        <f t="shared" si="4"/>
        <v>308.78108750000001</v>
      </c>
      <c r="AE7" s="2">
        <v>-5</v>
      </c>
      <c r="AF7">
        <v>0.40103</v>
      </c>
      <c r="AG7" s="6">
        <v>-0.30812400000000001</v>
      </c>
      <c r="AH7" s="5">
        <v>-0.46402178363520202</v>
      </c>
      <c r="AI7">
        <f t="shared" si="0"/>
        <v>-0.05</v>
      </c>
      <c r="AJ7" s="9">
        <f>AH44+(AI7-AG44)*(AH45-AH44)/(AG45-AG44)</f>
        <v>0.45275324256332022</v>
      </c>
      <c r="AK7">
        <v>0.40103</v>
      </c>
    </row>
    <row r="8" spans="1:37">
      <c r="A8">
        <v>11.461013184853901</v>
      </c>
      <c r="B8">
        <v>2.9650000000000002E-3</v>
      </c>
      <c r="C8">
        <v>3.9637399145105501E-2</v>
      </c>
      <c r="D8">
        <v>302.07015531245497</v>
      </c>
      <c r="E8">
        <v>0.38100000000000001</v>
      </c>
      <c r="F8">
        <v>2.9650000000000002E-3</v>
      </c>
      <c r="G8">
        <v>0.184</v>
      </c>
      <c r="I8" s="2"/>
      <c r="J8">
        <v>0.121</v>
      </c>
      <c r="K8">
        <v>0.113357</v>
      </c>
      <c r="L8">
        <v>0.21038999999999999</v>
      </c>
      <c r="M8">
        <v>0.60612999999999995</v>
      </c>
      <c r="N8">
        <v>16.02704</v>
      </c>
      <c r="O8">
        <v>4.1408100000000001</v>
      </c>
      <c r="P8">
        <v>6.2508699999999999</v>
      </c>
      <c r="Q8">
        <v>7.4979800000000001</v>
      </c>
      <c r="R8">
        <v>56.478000000000002</v>
      </c>
      <c r="S8" s="2">
        <f t="shared" si="1"/>
        <v>8.3000000000000001E-4</v>
      </c>
      <c r="T8">
        <v>8.3000000000000004E-2</v>
      </c>
      <c r="U8">
        <v>36.376800000000003</v>
      </c>
      <c r="W8">
        <v>1.3500000000000001E-3</v>
      </c>
      <c r="X8">
        <f>A5+(W8-B5)*(A6-A5)/(B6-B5)</f>
        <v>9.9872877923714398</v>
      </c>
      <c r="Y8">
        <f t="shared" si="2"/>
        <v>4.1408100000000001</v>
      </c>
      <c r="Z8" s="4">
        <f>C5+(W8-B5)*(C6-C5)/(B6-B5)</f>
        <v>2.0552585464815601E-2</v>
      </c>
      <c r="AA8">
        <f t="shared" si="3"/>
        <v>6.2508699999999999</v>
      </c>
      <c r="AB8">
        <f>D5+(W8-B5)*(D6-D5)/(B6-B5)</f>
        <v>303.14747005325103</v>
      </c>
      <c r="AC8">
        <f t="shared" si="4"/>
        <v>308.43520000000001</v>
      </c>
      <c r="AE8" s="2">
        <v>-4</v>
      </c>
      <c r="AF8">
        <v>0.42270999999999997</v>
      </c>
      <c r="AG8" s="6">
        <v>-0.30127680000000001</v>
      </c>
      <c r="AH8" s="5">
        <v>-0.46402178363520202</v>
      </c>
      <c r="AI8">
        <f t="shared" si="0"/>
        <v>-0.04</v>
      </c>
      <c r="AJ8" s="9">
        <f>AH46</f>
        <v>0.46881750316382897</v>
      </c>
      <c r="AK8">
        <v>0.42270999999999997</v>
      </c>
    </row>
    <row r="9" spans="1:37">
      <c r="A9">
        <v>11.461013184853901</v>
      </c>
      <c r="B9">
        <v>3.558E-3</v>
      </c>
      <c r="C9">
        <v>3.9637399145105501E-2</v>
      </c>
      <c r="D9">
        <v>302.07015531245497</v>
      </c>
      <c r="E9">
        <v>0.38100000000000001</v>
      </c>
      <c r="F9">
        <v>3.558E-3</v>
      </c>
      <c r="G9">
        <v>0.184</v>
      </c>
      <c r="I9" s="2"/>
      <c r="J9">
        <v>0.15</v>
      </c>
      <c r="K9">
        <v>0.113357</v>
      </c>
      <c r="L9">
        <v>0.21038999999999999</v>
      </c>
      <c r="M9">
        <v>0.60612999999999995</v>
      </c>
      <c r="N9">
        <v>16.021719999999998</v>
      </c>
      <c r="O9">
        <v>4.4088399999999996</v>
      </c>
      <c r="P9">
        <v>6.3801100000000002</v>
      </c>
      <c r="Q9">
        <v>7.7552399999999997</v>
      </c>
      <c r="R9">
        <v>55.353999999999999</v>
      </c>
      <c r="S9" s="2">
        <f t="shared" si="1"/>
        <v>1.0299999999999999E-3</v>
      </c>
      <c r="T9">
        <v>0.10299999999999999</v>
      </c>
      <c r="U9">
        <v>35.923099999999998</v>
      </c>
      <c r="W9">
        <v>1.65E-3</v>
      </c>
      <c r="X9">
        <f>A5+(W9-B5)*(A6-A5)/(B6-B5)</f>
        <v>9.9872877923714398</v>
      </c>
      <c r="Y9">
        <f t="shared" si="2"/>
        <v>4.4088399999999996</v>
      </c>
      <c r="Z9" s="4">
        <f>C5+(W9-B5)*(C6-C5)/(B6-B5)</f>
        <v>2.0552585464815601E-2</v>
      </c>
      <c r="AA9">
        <f t="shared" si="3"/>
        <v>6.3801100000000002</v>
      </c>
      <c r="AB9">
        <f>D5+(W9-B5)*(D6-D5)/(B6-B5)</f>
        <v>303.14747005325103</v>
      </c>
      <c r="AC9">
        <f t="shared" si="4"/>
        <v>308.05517368421056</v>
      </c>
      <c r="AE9" s="2">
        <v>-3</v>
      </c>
      <c r="AF9">
        <v>0.44041999999999998</v>
      </c>
      <c r="AG9" s="6">
        <v>-0.29442960000000001</v>
      </c>
      <c r="AH9" s="5">
        <v>-0.41108413468881699</v>
      </c>
      <c r="AI9">
        <f>AE9/100</f>
        <v>-0.03</v>
      </c>
      <c r="AJ9" s="9">
        <f>AH47+(AI9-AG47)*(AH48-AH47)/(AG48-AG47)</f>
        <v>0.51377035600739196</v>
      </c>
      <c r="AK9">
        <v>0.44041999999999998</v>
      </c>
    </row>
    <row r="10" spans="1:37">
      <c r="A10">
        <v>12.8596464220202</v>
      </c>
      <c r="B10">
        <v>4.1510000000000002E-3</v>
      </c>
      <c r="C10">
        <v>6.3873959797913202E-2</v>
      </c>
      <c r="D10">
        <v>301.21863006705701</v>
      </c>
      <c r="E10">
        <v>0.38100000000000001</v>
      </c>
      <c r="F10">
        <v>4.1510000000000002E-3</v>
      </c>
      <c r="G10">
        <v>0.184</v>
      </c>
      <c r="I10" s="2"/>
      <c r="J10">
        <v>0.187</v>
      </c>
      <c r="K10">
        <v>0.113357</v>
      </c>
      <c r="L10">
        <v>0.21038999999999999</v>
      </c>
      <c r="M10">
        <v>0.60612999999999995</v>
      </c>
      <c r="N10">
        <v>16.016349999999999</v>
      </c>
      <c r="O10">
        <v>4.65116</v>
      </c>
      <c r="P10">
        <v>6.4352799999999997</v>
      </c>
      <c r="Q10">
        <v>7.9401599999999997</v>
      </c>
      <c r="R10">
        <v>54.142000000000003</v>
      </c>
      <c r="S10" s="2">
        <f t="shared" si="1"/>
        <v>1.2700000000000001E-3</v>
      </c>
      <c r="T10">
        <v>0.127</v>
      </c>
      <c r="U10">
        <v>35.544400000000003</v>
      </c>
      <c r="W10">
        <v>2.0100000000000001E-3</v>
      </c>
      <c r="X10">
        <f>A6+(W10-B6)*(A7-A6)/(B7-B6)</f>
        <v>10.561369690623462</v>
      </c>
      <c r="Y10">
        <f t="shared" si="2"/>
        <v>4.65116</v>
      </c>
      <c r="Z10" s="4">
        <f>C6+(W10-B6)*(C7-C6)/(B7-B6)</f>
        <v>2.7986973255957202E-2</v>
      </c>
      <c r="AA10">
        <f t="shared" si="3"/>
        <v>6.4352799999999997</v>
      </c>
      <c r="AB10">
        <f>D6+(W10-B6)*(D7-D6)/(B7-B6)</f>
        <v>302.72780781864077</v>
      </c>
      <c r="AC10">
        <f t="shared" si="4"/>
        <v>307.7077695652174</v>
      </c>
      <c r="AE10" s="2">
        <v>-2</v>
      </c>
      <c r="AF10">
        <v>0.45588000000000001</v>
      </c>
      <c r="AG10" s="6">
        <v>-0.28758240000000002</v>
      </c>
      <c r="AH10" s="5">
        <v>-0.41108413468881699</v>
      </c>
      <c r="AI10">
        <f t="shared" si="0"/>
        <v>-0.02</v>
      </c>
      <c r="AJ10" s="9">
        <f>AH49</f>
        <v>0.51377035600739196</v>
      </c>
      <c r="AK10">
        <v>0.45588000000000001</v>
      </c>
    </row>
    <row r="11" spans="1:37">
      <c r="A11">
        <v>12.8596464220202</v>
      </c>
      <c r="B11">
        <v>4.744E-3</v>
      </c>
      <c r="C11">
        <v>6.3873959797913202E-2</v>
      </c>
      <c r="D11">
        <v>301.21863006705701</v>
      </c>
      <c r="E11">
        <v>0.38100000000000001</v>
      </c>
      <c r="F11">
        <v>4.744E-3</v>
      </c>
      <c r="G11">
        <v>0.184</v>
      </c>
      <c r="I11" s="2"/>
      <c r="J11">
        <v>0.23200000000000001</v>
      </c>
      <c r="K11">
        <v>0.113357</v>
      </c>
      <c r="L11">
        <v>0.21038999999999999</v>
      </c>
      <c r="M11">
        <v>0.60612999999999995</v>
      </c>
      <c r="N11">
        <v>16.01793</v>
      </c>
      <c r="O11">
        <v>4.9020799999999998</v>
      </c>
      <c r="P11">
        <v>6.4500500000000001</v>
      </c>
      <c r="Q11">
        <v>8.1014499999999998</v>
      </c>
      <c r="R11">
        <v>52.765000000000001</v>
      </c>
      <c r="S11" s="2">
        <f t="shared" si="1"/>
        <v>1.57E-3</v>
      </c>
      <c r="T11">
        <v>0.157</v>
      </c>
      <c r="U11">
        <v>35.134900000000002</v>
      </c>
      <c r="W11">
        <v>2.47E-3</v>
      </c>
      <c r="X11">
        <f>A7+(W11-B7)*(A8-A7)/(B8-B7)</f>
        <v>11.461013184853901</v>
      </c>
      <c r="Y11">
        <f t="shared" si="2"/>
        <v>4.9020799999999998</v>
      </c>
      <c r="Z11" s="4">
        <f>C7+(W11-B7)*(C8-C7)/(B8-B7)</f>
        <v>3.9637399145105501E-2</v>
      </c>
      <c r="AA11">
        <f t="shared" si="3"/>
        <v>6.4500500000000001</v>
      </c>
      <c r="AB11">
        <f>D7+(W11-B7)*(D8-D7)/(B8-B7)</f>
        <v>302.07015531245497</v>
      </c>
      <c r="AC11">
        <f t="shared" si="4"/>
        <v>307.3383</v>
      </c>
      <c r="AE11" s="2">
        <v>-1</v>
      </c>
      <c r="AF11">
        <v>0.47077000000000002</v>
      </c>
      <c r="AG11" s="6">
        <v>-0.28073520000000002</v>
      </c>
      <c r="AH11" s="5">
        <v>-0.34701136234168001</v>
      </c>
      <c r="AI11">
        <f t="shared" si="0"/>
        <v>-0.01</v>
      </c>
      <c r="AJ11" s="9">
        <f>AH50+(AI11-AG50)*(AH51-AH50)/(AG51-AG50)</f>
        <v>0.51145508083347502</v>
      </c>
      <c r="AK11">
        <v>0.47077000000000002</v>
      </c>
    </row>
    <row r="12" spans="1:37">
      <c r="A12">
        <v>12.8596464220202</v>
      </c>
      <c r="B12">
        <v>5.3369999999999902E-3</v>
      </c>
      <c r="C12">
        <v>6.3873959797913202E-2</v>
      </c>
      <c r="D12">
        <v>301.21863006705701</v>
      </c>
      <c r="E12">
        <v>0.38100000000000001</v>
      </c>
      <c r="F12">
        <v>5.3369999999999902E-3</v>
      </c>
      <c r="G12">
        <v>0.184</v>
      </c>
      <c r="I12" s="2"/>
      <c r="J12">
        <v>0.28899999999999998</v>
      </c>
      <c r="K12">
        <v>0.113357</v>
      </c>
      <c r="L12">
        <v>0.21038999999999999</v>
      </c>
      <c r="M12">
        <v>0.60612999999999995</v>
      </c>
      <c r="N12">
        <v>16.015720000000002</v>
      </c>
      <c r="O12">
        <v>5.1833499999999999</v>
      </c>
      <c r="P12">
        <v>6.4304899999999998</v>
      </c>
      <c r="Q12">
        <v>8.2594399999999997</v>
      </c>
      <c r="R12">
        <v>51.128999999999998</v>
      </c>
      <c r="S12" s="2">
        <f t="shared" si="1"/>
        <v>1.9500000000000001E-3</v>
      </c>
      <c r="T12">
        <v>0.19500000000000001</v>
      </c>
      <c r="U12">
        <v>34.7562</v>
      </c>
      <c r="W12">
        <v>2.8899999999999998E-3</v>
      </c>
      <c r="X12">
        <f>A7+(W12-B7)*(A8-A7)/(B8-B7)</f>
        <v>11.461013184853901</v>
      </c>
      <c r="Y12">
        <f t="shared" si="2"/>
        <v>5.1833499999999999</v>
      </c>
      <c r="Z12" s="4">
        <f>C7+(W12-B7)*(C8-C7)/(B8-B7)</f>
        <v>3.9637399145105501E-2</v>
      </c>
      <c r="AA12">
        <f t="shared" si="3"/>
        <v>6.4304899999999998</v>
      </c>
      <c r="AB12">
        <f>D7+(W12-B7)*(D8-D7)/(B8-B7)</f>
        <v>302.07015531245497</v>
      </c>
      <c r="AC12">
        <f t="shared" ref="AC12:AC17" si="5">(U13+(W12-S13)*(U14-U13)/(S14-S13))+273</f>
        <v>307.01210000000003</v>
      </c>
      <c r="AE12" s="2">
        <v>0</v>
      </c>
      <c r="AF12">
        <v>0.47972999999999999</v>
      </c>
      <c r="AG12" s="6">
        <v>-0.27388800000000002</v>
      </c>
      <c r="AH12" s="5">
        <v>-0.34701136234168001</v>
      </c>
      <c r="AI12">
        <f t="shared" si="0"/>
        <v>0</v>
      </c>
      <c r="AJ12" s="9">
        <f>AH52</f>
        <v>0.53912446047368501</v>
      </c>
      <c r="AK12">
        <v>0.47972999999999999</v>
      </c>
    </row>
    <row r="13" spans="1:37">
      <c r="A13">
        <v>14.444190379975</v>
      </c>
      <c r="B13">
        <v>5.9300000000000004E-3</v>
      </c>
      <c r="C13">
        <v>9.2369212835790707E-2</v>
      </c>
      <c r="D13">
        <v>300.42171471421398</v>
      </c>
      <c r="E13">
        <v>0.38100000000000001</v>
      </c>
      <c r="F13">
        <v>5.9300000000000004E-3</v>
      </c>
      <c r="G13">
        <v>0.184</v>
      </c>
      <c r="I13" s="2"/>
      <c r="J13">
        <v>0.35899999999999999</v>
      </c>
      <c r="K13">
        <v>0.113357</v>
      </c>
      <c r="L13">
        <v>0.21038999999999999</v>
      </c>
      <c r="M13">
        <v>0.60612999999999995</v>
      </c>
      <c r="N13">
        <v>16.016439999999999</v>
      </c>
      <c r="O13">
        <v>5.5609000000000002</v>
      </c>
      <c r="P13">
        <v>6.4052800000000003</v>
      </c>
      <c r="Q13">
        <v>8.4824099999999998</v>
      </c>
      <c r="R13">
        <v>49.036000000000001</v>
      </c>
      <c r="S13" s="2">
        <f t="shared" si="1"/>
        <v>2.4099999999999998E-3</v>
      </c>
      <c r="T13">
        <v>0.24099999999999999</v>
      </c>
      <c r="U13">
        <v>34.384900000000002</v>
      </c>
      <c r="W13">
        <v>3.5899999999999999E-3</v>
      </c>
      <c r="X13">
        <f>A9+(W13-B9)*(A10-A9)/(B10-B9)</f>
        <v>11.536487491075354</v>
      </c>
      <c r="Y13">
        <f t="shared" si="2"/>
        <v>5.5609000000000002</v>
      </c>
      <c r="Z13" s="4">
        <f>C9+(W13-B9)*(C10-C9)/(B10-B9)</f>
        <v>4.0945274256218224E-2</v>
      </c>
      <c r="AA13">
        <f t="shared" si="3"/>
        <v>6.4052800000000003</v>
      </c>
      <c r="AB13">
        <f>D9+(W13-B9)*(D10-D9)/(B10-B9)</f>
        <v>302.02420454035928</v>
      </c>
      <c r="AC13">
        <f t="shared" si="5"/>
        <v>306.62001690140846</v>
      </c>
      <c r="AE13" s="2">
        <v>1</v>
      </c>
      <c r="AF13">
        <v>0.47632000000000002</v>
      </c>
      <c r="AG13" s="6">
        <v>-0.26704079999999902</v>
      </c>
      <c r="AH13" s="5">
        <v>-0.29305137053510399</v>
      </c>
      <c r="AI13">
        <f t="shared" si="0"/>
        <v>0.01</v>
      </c>
      <c r="AJ13" s="9">
        <f>AH53+(AI13-AG53)*(AH54-AH53)/(AG54-AG53)</f>
        <v>0.54893390866986791</v>
      </c>
      <c r="AK13">
        <v>0.47632000000000002</v>
      </c>
    </row>
    <row r="14" spans="1:37">
      <c r="A14">
        <v>14.444190379975</v>
      </c>
      <c r="B14">
        <v>6.5230000000000002E-3</v>
      </c>
      <c r="C14">
        <v>9.2369212835790707E-2</v>
      </c>
      <c r="D14">
        <v>300.42171471421398</v>
      </c>
      <c r="E14">
        <v>0.38100000000000001</v>
      </c>
      <c r="F14">
        <v>6.5230000000000002E-3</v>
      </c>
      <c r="G14">
        <v>0.184</v>
      </c>
      <c r="I14" s="2"/>
      <c r="J14">
        <v>0.44600000000000001</v>
      </c>
      <c r="K14">
        <v>0.113357</v>
      </c>
      <c r="L14">
        <v>0.21038999999999999</v>
      </c>
      <c r="M14">
        <v>0.60612999999999995</v>
      </c>
      <c r="N14">
        <v>16.014089999999999</v>
      </c>
      <c r="O14">
        <v>5.9095399999999998</v>
      </c>
      <c r="P14">
        <v>6.3033200000000003</v>
      </c>
      <c r="Q14">
        <v>8.6402800000000006</v>
      </c>
      <c r="R14">
        <v>46.847000000000001</v>
      </c>
      <c r="S14" s="2">
        <f t="shared" si="1"/>
        <v>2.98E-3</v>
      </c>
      <c r="T14">
        <v>0.29799999999999999</v>
      </c>
      <c r="U14">
        <v>33.9422</v>
      </c>
      <c r="W14">
        <v>4.47E-3</v>
      </c>
      <c r="X14">
        <f>A10+(W14-B10)*(A11-A10)/(B11-B10)</f>
        <v>12.8596464220202</v>
      </c>
      <c r="Y14">
        <f t="shared" si="2"/>
        <v>5.9095399999999998</v>
      </c>
      <c r="Z14" s="4">
        <f>C10+(W14-B10)*(C11-C10)/(B11-B10)</f>
        <v>6.3873959797913202E-2</v>
      </c>
      <c r="AA14">
        <f t="shared" si="3"/>
        <v>6.3033200000000003</v>
      </c>
      <c r="AB14">
        <f>D10+(W14-B10)*(D11-D10)/(B11-B10)</f>
        <v>301.21863006705701</v>
      </c>
      <c r="AC14">
        <f t="shared" si="5"/>
        <v>306.2254344827586</v>
      </c>
      <c r="AE14" s="2">
        <v>2</v>
      </c>
      <c r="AF14">
        <v>0.46346999999999999</v>
      </c>
      <c r="AG14" s="6">
        <v>-0.26019360000000002</v>
      </c>
      <c r="AH14" s="5">
        <v>-0.29305137053510399</v>
      </c>
      <c r="AI14">
        <f t="shared" si="0"/>
        <v>0.02</v>
      </c>
      <c r="AJ14" s="9">
        <f>AH55</f>
        <v>0.56042846126311097</v>
      </c>
      <c r="AK14">
        <v>0.46346999999999999</v>
      </c>
    </row>
    <row r="15" spans="1:37">
      <c r="A15">
        <v>14.444190379975</v>
      </c>
      <c r="B15">
        <v>7.1159999999999904E-3</v>
      </c>
      <c r="C15">
        <v>9.2369212835790707E-2</v>
      </c>
      <c r="D15">
        <v>300.42171471421398</v>
      </c>
      <c r="E15">
        <v>0.38100000000000001</v>
      </c>
      <c r="F15">
        <v>7.1159999999999904E-3</v>
      </c>
      <c r="G15">
        <v>0.184</v>
      </c>
      <c r="I15" s="2"/>
      <c r="J15">
        <v>0.55500000000000005</v>
      </c>
      <c r="K15">
        <v>0.113357</v>
      </c>
      <c r="L15">
        <v>0.21038999999999999</v>
      </c>
      <c r="M15">
        <v>0.60612999999999995</v>
      </c>
      <c r="N15">
        <v>16.015640000000001</v>
      </c>
      <c r="O15">
        <v>6.3932500000000001</v>
      </c>
      <c r="P15">
        <v>6.1859200000000003</v>
      </c>
      <c r="Q15">
        <v>8.89602</v>
      </c>
      <c r="R15">
        <v>44.055999999999997</v>
      </c>
      <c r="S15" s="2">
        <f t="shared" si="1"/>
        <v>3.6900000000000001E-3</v>
      </c>
      <c r="T15">
        <v>0.36899999999999999</v>
      </c>
      <c r="U15">
        <v>33.5672</v>
      </c>
      <c r="W15">
        <v>5.5500000000000002E-3</v>
      </c>
      <c r="X15">
        <f>A12+(W15-B12)*(A13-A12)/(B13-B12)</f>
        <v>13.42879964806469</v>
      </c>
      <c r="Y15">
        <f t="shared" si="2"/>
        <v>6.3932500000000001</v>
      </c>
      <c r="Z15" s="4">
        <f>C12+(W15-B12)*(C13-C12)/(B13-B12)</f>
        <v>7.4109185593980803E-2</v>
      </c>
      <c r="AA15">
        <f t="shared" si="3"/>
        <v>6.1859200000000003</v>
      </c>
      <c r="AB15">
        <f>D12+(W15-B12)*(D13-D12)/(B13-B12)</f>
        <v>300.93238559799198</v>
      </c>
      <c r="AC15">
        <f t="shared" si="5"/>
        <v>305.83665833333333</v>
      </c>
      <c r="AE15" s="2">
        <v>3</v>
      </c>
      <c r="AF15">
        <v>0.44757000000000002</v>
      </c>
      <c r="AG15" s="6">
        <v>-0.25334639999999897</v>
      </c>
      <c r="AH15" s="5">
        <v>-0.236478921890555</v>
      </c>
      <c r="AI15">
        <f t="shared" si="0"/>
        <v>0.03</v>
      </c>
      <c r="AJ15" s="9">
        <f>AH56+(AI15-AG56)*(AH57-AH56)/(AG57-AG56)</f>
        <v>0.50822631733123302</v>
      </c>
      <c r="AK15">
        <v>0.44757000000000002</v>
      </c>
    </row>
    <row r="16" spans="1:37">
      <c r="A16">
        <v>15.256945806649</v>
      </c>
      <c r="B16">
        <v>7.7089999999999902E-3</v>
      </c>
      <c r="C16">
        <v>0.122045450108311</v>
      </c>
      <c r="D16">
        <v>300.04885375636502</v>
      </c>
      <c r="E16">
        <v>0.38100000000000001</v>
      </c>
      <c r="F16">
        <v>7.7089999999999902E-3</v>
      </c>
      <c r="G16">
        <v>0.184</v>
      </c>
      <c r="I16" s="2"/>
      <c r="J16">
        <v>0.69099999999999995</v>
      </c>
      <c r="K16">
        <v>0.113357</v>
      </c>
      <c r="L16">
        <v>0.21038999999999999</v>
      </c>
      <c r="M16">
        <v>0.60612999999999995</v>
      </c>
      <c r="N16">
        <v>16.010929999999998</v>
      </c>
      <c r="O16">
        <v>6.9326600000000003</v>
      </c>
      <c r="P16">
        <v>6.0489499999999996</v>
      </c>
      <c r="Q16">
        <v>9.2006300000000003</v>
      </c>
      <c r="R16">
        <v>41.106000000000002</v>
      </c>
      <c r="S16" s="2">
        <f t="shared" si="1"/>
        <v>4.5599999999999998E-3</v>
      </c>
      <c r="T16">
        <v>0.45600000000000002</v>
      </c>
      <c r="U16">
        <v>33.186</v>
      </c>
      <c r="W16">
        <v>6.9099999999999995E-3</v>
      </c>
      <c r="X16">
        <f>A14+(W16-B14)*(A15-A14)/(B15-B14)</f>
        <v>14.444190379975</v>
      </c>
      <c r="Y16">
        <f t="shared" si="2"/>
        <v>6.9326600000000003</v>
      </c>
      <c r="Z16" s="4">
        <f>C14+(W16-B14)*(C15-C14)/(B15-B14)</f>
        <v>9.2369212835790707E-2</v>
      </c>
      <c r="AA16">
        <f t="shared" si="3"/>
        <v>6.0489499999999996</v>
      </c>
      <c r="AB16">
        <f>D14+(W16-B14)*(D15-D14)/(B15-B14)</f>
        <v>300.42171471421398</v>
      </c>
      <c r="AC16">
        <f t="shared" si="5"/>
        <v>305.3736686567164</v>
      </c>
      <c r="AE16" s="2">
        <v>4</v>
      </c>
      <c r="AF16">
        <v>0.43052000000000001</v>
      </c>
      <c r="AG16" s="6">
        <v>-0.246499199999999</v>
      </c>
      <c r="AH16" s="5">
        <v>-0.236478921890555</v>
      </c>
      <c r="AI16">
        <f t="shared" si="0"/>
        <v>0.04</v>
      </c>
      <c r="AJ16" s="9">
        <f>AH58</f>
        <v>0.47024510294127198</v>
      </c>
      <c r="AK16">
        <v>0.43052000000000001</v>
      </c>
    </row>
    <row r="17" spans="1:37">
      <c r="A17">
        <v>15.256945806649</v>
      </c>
      <c r="B17">
        <v>8.3020000000000004E-3</v>
      </c>
      <c r="C17">
        <v>0.122045450108311</v>
      </c>
      <c r="D17">
        <v>300.04885375636502</v>
      </c>
      <c r="E17">
        <v>0.38100000000000001</v>
      </c>
      <c r="F17">
        <v>8.3020000000000004E-3</v>
      </c>
      <c r="G17">
        <v>0.184</v>
      </c>
      <c r="I17" s="2"/>
      <c r="J17">
        <v>0.85899999999999999</v>
      </c>
      <c r="K17">
        <v>0.113357</v>
      </c>
      <c r="L17">
        <v>0.21038999999999999</v>
      </c>
      <c r="M17">
        <v>0.60612999999999995</v>
      </c>
      <c r="N17">
        <v>16.014230000000001</v>
      </c>
      <c r="O17">
        <v>7.57111</v>
      </c>
      <c r="P17">
        <v>5.86937</v>
      </c>
      <c r="Q17">
        <v>9.5797299999999996</v>
      </c>
      <c r="R17">
        <v>37.783999999999999</v>
      </c>
      <c r="S17" s="2">
        <f t="shared" si="1"/>
        <v>5.6399999999999992E-3</v>
      </c>
      <c r="T17">
        <v>0.56399999999999995</v>
      </c>
      <c r="U17">
        <v>32.804900000000004</v>
      </c>
      <c r="W17">
        <v>8.5900000000000004E-3</v>
      </c>
      <c r="X17">
        <f>A17+(W17-B17)*(A18-A17)/(B18-B17)</f>
        <v>15.256945806649</v>
      </c>
      <c r="Y17">
        <f t="shared" si="2"/>
        <v>7.57111</v>
      </c>
      <c r="Z17" s="4">
        <f>C17+(W17-B17)*(C18-C17)/(B18-B17)</f>
        <v>0.122045450108311</v>
      </c>
      <c r="AA17">
        <f t="shared" si="3"/>
        <v>5.86937</v>
      </c>
      <c r="AB17">
        <f>D17+(W17-B17)*(D18-D17)/(B18-B17)</f>
        <v>300.04885375636502</v>
      </c>
      <c r="AC17">
        <f t="shared" si="5"/>
        <v>304.9096381818182</v>
      </c>
      <c r="AE17" s="2">
        <v>5</v>
      </c>
      <c r="AF17">
        <v>0.41205999999999998</v>
      </c>
      <c r="AG17" s="6">
        <v>-0.239652</v>
      </c>
      <c r="AH17" s="5">
        <v>-0.20262725565831799</v>
      </c>
      <c r="AI17">
        <f t="shared" si="0"/>
        <v>0.05</v>
      </c>
      <c r="AJ17" s="9">
        <f>AH59+(AI17-AG59)*(AH60-AH59)/(AG60-AG59)</f>
        <v>0.45940079894915953</v>
      </c>
      <c r="AK17">
        <v>0.41205999999999998</v>
      </c>
    </row>
    <row r="18" spans="1:37">
      <c r="A18">
        <v>15.256945806649</v>
      </c>
      <c r="B18">
        <v>8.8950000000000001E-3</v>
      </c>
      <c r="C18">
        <v>0.122045450108311</v>
      </c>
      <c r="D18">
        <v>300.04885375636502</v>
      </c>
      <c r="E18">
        <v>0.38100000000000001</v>
      </c>
      <c r="F18">
        <v>8.8950000000000001E-3</v>
      </c>
      <c r="G18">
        <v>0.184</v>
      </c>
      <c r="I18" s="2"/>
      <c r="J18">
        <v>1.0680000000000001</v>
      </c>
      <c r="K18">
        <v>0.16258800000000001</v>
      </c>
      <c r="L18">
        <v>0.51731000000000005</v>
      </c>
      <c r="M18">
        <v>0.60594999999999999</v>
      </c>
      <c r="N18">
        <v>16.01745</v>
      </c>
      <c r="O18">
        <v>8.1365099999999995</v>
      </c>
      <c r="P18">
        <v>5.8766600000000002</v>
      </c>
      <c r="Q18">
        <v>10.03683</v>
      </c>
      <c r="R18">
        <v>35.838999999999999</v>
      </c>
      <c r="S18" s="2">
        <f t="shared" si="1"/>
        <v>6.9799999999999992E-3</v>
      </c>
      <c r="T18">
        <v>0.69799999999999995</v>
      </c>
      <c r="U18">
        <v>32.349899999999998</v>
      </c>
      <c r="W18">
        <v>1.068E-2</v>
      </c>
      <c r="X18">
        <f>A21+(W18-B21)*(A22-A21)/(B22-B21)</f>
        <v>15.300142638391099</v>
      </c>
      <c r="Y18">
        <f t="shared" si="2"/>
        <v>8.1365099999999995</v>
      </c>
      <c r="Z18" s="4">
        <f>C21+(W18-B21)*(C22-C21)/(B22-B21)</f>
        <v>0.127913050572902</v>
      </c>
      <c r="AA18">
        <f t="shared" si="3"/>
        <v>5.8766600000000002</v>
      </c>
      <c r="AB18">
        <f>D21+(W18-B21)*(D22-D21)/(B22-B21)</f>
        <v>300.00313061301</v>
      </c>
      <c r="AC18">
        <f>U20+273</f>
        <v>304.4511</v>
      </c>
      <c r="AE18" s="2">
        <v>6</v>
      </c>
      <c r="AF18">
        <v>0.39306000000000002</v>
      </c>
      <c r="AG18" s="6">
        <v>-0.23280479999999901</v>
      </c>
      <c r="AH18" s="5">
        <v>-0.16727206584404</v>
      </c>
      <c r="AI18">
        <f t="shared" si="0"/>
        <v>0.06</v>
      </c>
      <c r="AJ18" s="9">
        <f>AH61</f>
        <v>0.43436709835353099</v>
      </c>
      <c r="AK18">
        <v>0.39306000000000002</v>
      </c>
    </row>
    <row r="19" spans="1:37">
      <c r="A19">
        <v>15.256945806649</v>
      </c>
      <c r="B19">
        <v>9.4879999999999895E-3</v>
      </c>
      <c r="C19">
        <v>0.122045450108311</v>
      </c>
      <c r="D19">
        <v>300.04885375636502</v>
      </c>
      <c r="E19">
        <v>0.38100000000000001</v>
      </c>
      <c r="F19">
        <v>9.4879999999999895E-3</v>
      </c>
      <c r="G19">
        <v>0.184</v>
      </c>
      <c r="I19" s="2"/>
      <c r="J19">
        <v>1.3280000000000001</v>
      </c>
      <c r="K19">
        <v>0.16258800000000001</v>
      </c>
      <c r="L19">
        <v>0.51731000000000005</v>
      </c>
      <c r="M19">
        <v>0.60594999999999999</v>
      </c>
      <c r="N19">
        <v>16.01529</v>
      </c>
      <c r="O19">
        <v>9.0546199999999999</v>
      </c>
      <c r="P19">
        <v>5.6990800000000004</v>
      </c>
      <c r="Q19">
        <v>10.69886</v>
      </c>
      <c r="R19">
        <v>32.186999999999998</v>
      </c>
      <c r="S19" s="2">
        <f>T19/100</f>
        <v>8.6300000000000005E-3</v>
      </c>
      <c r="T19">
        <v>0.86299999999999999</v>
      </c>
      <c r="U19">
        <v>31.898700000000002</v>
      </c>
      <c r="W19">
        <v>1.328E-2</v>
      </c>
      <c r="X19">
        <f>A25+(W19-B25)*(A26-A25)/(B26-B25)</f>
        <v>15.164914124107799</v>
      </c>
      <c r="Y19">
        <f t="shared" si="2"/>
        <v>9.0546199999999999</v>
      </c>
      <c r="Z19" s="4">
        <f>C25+(W19-B25)*(C26-C25)/(B26-B25)</f>
        <v>0.108990520762791</v>
      </c>
      <c r="AA19">
        <f t="shared" si="3"/>
        <v>5.6990800000000004</v>
      </c>
      <c r="AB19">
        <f>D25+(W19-B25)*(D26-D25)/(B26-B25)</f>
        <v>300.00473433412401</v>
      </c>
      <c r="AC19">
        <f>(U21+(W19-S21)*(U22-U21)/(S22-S21))+273</f>
        <v>303.8969388429752</v>
      </c>
      <c r="AE19" s="2">
        <v>7</v>
      </c>
      <c r="AF19">
        <v>0.37193999999999999</v>
      </c>
      <c r="AG19" s="6">
        <v>-0.22595759999999901</v>
      </c>
      <c r="AH19" s="5">
        <v>-0.16727206584404</v>
      </c>
      <c r="AI19">
        <f t="shared" si="0"/>
        <v>7.0000000000000007E-2</v>
      </c>
      <c r="AJ19" s="9">
        <f>AH62</f>
        <v>0.40517692530239702</v>
      </c>
      <c r="AK19">
        <v>0.37193999999999999</v>
      </c>
    </row>
    <row r="20" spans="1:37">
      <c r="A20">
        <v>15.300142638391099</v>
      </c>
      <c r="B20">
        <v>1.0081E-2</v>
      </c>
      <c r="C20">
        <v>0.127913050572902</v>
      </c>
      <c r="D20">
        <v>300.00313061301</v>
      </c>
      <c r="E20">
        <v>0.38100000000000001</v>
      </c>
      <c r="F20">
        <v>1.0081E-2</v>
      </c>
      <c r="G20">
        <v>0.184</v>
      </c>
      <c r="I20" s="2"/>
      <c r="J20">
        <v>1.651</v>
      </c>
      <c r="K20">
        <v>0.16258800000000001</v>
      </c>
      <c r="L20">
        <v>0.51731000000000005</v>
      </c>
      <c r="M20">
        <v>0.60594999999999999</v>
      </c>
      <c r="N20">
        <v>16.015499999999999</v>
      </c>
      <c r="O20">
        <v>10.05505</v>
      </c>
      <c r="P20">
        <v>5.4567199999999998</v>
      </c>
      <c r="Q20">
        <v>11.44027</v>
      </c>
      <c r="R20">
        <v>28.488</v>
      </c>
      <c r="S20" s="2">
        <f t="shared" si="1"/>
        <v>1.068E-2</v>
      </c>
      <c r="T20">
        <v>1.0680000000000001</v>
      </c>
      <c r="U20">
        <v>31.4511</v>
      </c>
      <c r="W20">
        <v>1.651E-2</v>
      </c>
      <c r="X20" s="4">
        <f>A30+(W20-B30)*(A31-A30)/(B31-B30)</f>
        <v>15.164914124107799</v>
      </c>
      <c r="Y20">
        <f t="shared" si="2"/>
        <v>10.05505</v>
      </c>
      <c r="Z20" s="4">
        <f>C30+(W20-B30)*(C31-C30)/(B31-B30)</f>
        <v>0.108990520762791</v>
      </c>
      <c r="AA20">
        <f t="shared" si="3"/>
        <v>5.4567199999999998</v>
      </c>
      <c r="AB20">
        <f>D30+(W20-B30)*(D31-D30)/(B31-B30)</f>
        <v>300.00473433412401</v>
      </c>
      <c r="AC20">
        <f>(U21+(W20-S21)*(U23-U21)/(S23-S21))+273</f>
        <v>303.33391999999998</v>
      </c>
      <c r="AE20" s="2">
        <v>8</v>
      </c>
      <c r="AF20">
        <v>0.34898000000000001</v>
      </c>
      <c r="AG20" s="6">
        <v>-0.21911039999999901</v>
      </c>
      <c r="AH20" s="5">
        <v>-0.103301080763951</v>
      </c>
      <c r="AI20">
        <f t="shared" si="0"/>
        <v>0.08</v>
      </c>
      <c r="AJ20" s="9">
        <f>AH63+(AI20-AG63)*(AH64-AH63)/(AG64-AG63)</f>
        <v>0.36166301184574567</v>
      </c>
      <c r="AK20">
        <v>0.34898000000000001</v>
      </c>
    </row>
    <row r="21" spans="1:37">
      <c r="A21">
        <v>15.300142638391099</v>
      </c>
      <c r="B21">
        <v>1.0673999999999901E-2</v>
      </c>
      <c r="C21">
        <v>0.127913050572902</v>
      </c>
      <c r="D21">
        <v>300.00313061301</v>
      </c>
      <c r="E21">
        <v>0.38100000000000001</v>
      </c>
      <c r="F21">
        <v>1.0673999999999901E-2</v>
      </c>
      <c r="G21">
        <v>0.184</v>
      </c>
      <c r="I21" s="2"/>
      <c r="J21">
        <v>2.0529999999999999</v>
      </c>
      <c r="K21">
        <v>0.16258800000000001</v>
      </c>
      <c r="L21">
        <v>0.51731000000000005</v>
      </c>
      <c r="M21">
        <v>0.60594999999999999</v>
      </c>
      <c r="N21">
        <v>16.009409999999999</v>
      </c>
      <c r="O21">
        <v>11.138489999999999</v>
      </c>
      <c r="P21">
        <v>5.2038700000000002</v>
      </c>
      <c r="Q21">
        <v>12.29416</v>
      </c>
      <c r="R21">
        <v>25.042000000000002</v>
      </c>
      <c r="S21" s="2">
        <f t="shared" si="1"/>
        <v>1.321E-2</v>
      </c>
      <c r="T21">
        <v>1.321</v>
      </c>
      <c r="U21">
        <v>30.9101</v>
      </c>
      <c r="W21">
        <v>2.053E-2</v>
      </c>
      <c r="X21" s="4">
        <f>A37+(W21-B37)*(A38-A37)/(B38-B37)</f>
        <v>15.164914124107799</v>
      </c>
      <c r="Y21">
        <f t="shared" si="2"/>
        <v>11.138489999999999</v>
      </c>
      <c r="Z21" s="4">
        <f>C37+(W21-B37)*(C38-C37)/(B38-B37)</f>
        <v>0.108990520762791</v>
      </c>
      <c r="AA21">
        <f t="shared" si="3"/>
        <v>5.2038700000000002</v>
      </c>
      <c r="AB21">
        <f>D37+(W21-B37)*(D38-D37)/(B38-B37)</f>
        <v>300.00473433412401</v>
      </c>
      <c r="AC21">
        <f>(U23+(W21-S23)*(U24-U23)/(S24-S23))+273</f>
        <v>302.64813716075156</v>
      </c>
      <c r="AE21" s="2">
        <v>9</v>
      </c>
      <c r="AF21">
        <v>0.32755000000000001</v>
      </c>
      <c r="AG21" s="6">
        <v>-0.21226319999999901</v>
      </c>
      <c r="AH21" s="5">
        <v>-0.103301080763951</v>
      </c>
      <c r="AI21">
        <f t="shared" si="0"/>
        <v>0.09</v>
      </c>
      <c r="AJ21" s="9">
        <f>AH65</f>
        <v>0.34984758733953503</v>
      </c>
      <c r="AK21">
        <v>0.32755000000000001</v>
      </c>
    </row>
    <row r="22" spans="1:37">
      <c r="A22">
        <v>15.300142638391099</v>
      </c>
      <c r="B22">
        <v>1.12669999999999E-2</v>
      </c>
      <c r="C22">
        <v>0.127913050572902</v>
      </c>
      <c r="D22">
        <v>300.00313061301</v>
      </c>
      <c r="E22">
        <v>0.38100000000000001</v>
      </c>
      <c r="F22">
        <v>1.12669999999999E-2</v>
      </c>
      <c r="G22">
        <v>0.184</v>
      </c>
      <c r="I22" s="2"/>
      <c r="J22">
        <v>2.5529999999999999</v>
      </c>
      <c r="K22">
        <v>0.16258800000000001</v>
      </c>
      <c r="L22">
        <v>0.51731000000000005</v>
      </c>
      <c r="M22">
        <v>0.60594999999999999</v>
      </c>
      <c r="N22">
        <v>16.009730000000001</v>
      </c>
      <c r="O22">
        <v>12.20931</v>
      </c>
      <c r="P22">
        <v>4.9142000000000001</v>
      </c>
      <c r="Q22">
        <v>13.16118</v>
      </c>
      <c r="R22">
        <v>21.925000000000001</v>
      </c>
      <c r="S22" s="2">
        <f t="shared" si="1"/>
        <v>1.6840000000000001E-2</v>
      </c>
      <c r="T22">
        <v>1.6839999999999999</v>
      </c>
      <c r="U22">
        <v>30.227599999999999</v>
      </c>
      <c r="W22">
        <v>2.5530000000000001E-2</v>
      </c>
      <c r="X22" s="4">
        <f>A46+(W22-B46)*(A47-A46)/(B47-B46)</f>
        <v>15.4047308843483</v>
      </c>
      <c r="Y22">
        <f t="shared" si="2"/>
        <v>12.20931</v>
      </c>
      <c r="Z22" s="4">
        <f>C46+(W22-B46)*(C47-C46)/(B47-B46)</f>
        <v>6.8562764371433202E-2</v>
      </c>
      <c r="AA22">
        <f t="shared" si="3"/>
        <v>4.9142000000000001</v>
      </c>
      <c r="AB22">
        <f>D46+(W22-B46)*(D47-D46)/(B47-B46)</f>
        <v>300.00062432441803</v>
      </c>
      <c r="AC22">
        <f>(U24+(W22-S24)*(U25-U24)/(S25-S24))+273</f>
        <v>302.038746</v>
      </c>
      <c r="AE22" s="2">
        <v>10</v>
      </c>
      <c r="AF22">
        <v>0.30585000000000001</v>
      </c>
      <c r="AG22" s="6">
        <v>-0.20541599999999899</v>
      </c>
      <c r="AH22" s="5">
        <v>-0.103301080763951</v>
      </c>
      <c r="AI22">
        <f t="shared" si="0"/>
        <v>0.1</v>
      </c>
      <c r="AJ22" s="9">
        <f>AH66+(AI22-AG66)*(AH67-AH66)/(AG67-AG66)</f>
        <v>0.29357266894137574</v>
      </c>
      <c r="AK22">
        <v>0.30585000000000001</v>
      </c>
    </row>
    <row r="23" spans="1:37">
      <c r="A23">
        <v>15.300142638391099</v>
      </c>
      <c r="B23">
        <v>1.1860000000000001E-2</v>
      </c>
      <c r="C23">
        <v>0.127913050572902</v>
      </c>
      <c r="D23">
        <v>300.00313061301</v>
      </c>
      <c r="E23">
        <v>0.38100000000000001</v>
      </c>
      <c r="F23">
        <v>1.1860000000000001E-2</v>
      </c>
      <c r="G23">
        <v>0.184</v>
      </c>
      <c r="I23" s="2"/>
      <c r="J23">
        <v>3.1749999999999998</v>
      </c>
      <c r="K23">
        <v>0.16258800000000001</v>
      </c>
      <c r="L23">
        <v>0.51731000000000005</v>
      </c>
      <c r="M23">
        <v>0.60594999999999999</v>
      </c>
      <c r="N23">
        <v>16.012080000000001</v>
      </c>
      <c r="O23">
        <v>13.19458</v>
      </c>
      <c r="P23">
        <v>4.6368900000000002</v>
      </c>
      <c r="Q23">
        <v>13.985620000000001</v>
      </c>
      <c r="R23">
        <v>19.363</v>
      </c>
      <c r="S23" s="2">
        <f t="shared" si="1"/>
        <v>2.0209999999999999E-2</v>
      </c>
      <c r="T23">
        <v>2.0209999999999999</v>
      </c>
      <c r="U23">
        <v>29.687899999999999</v>
      </c>
      <c r="W23">
        <v>3.175E-2</v>
      </c>
      <c r="X23" s="4">
        <f>A56+(W23-B56)*(A57-A56)/(B57-B56)</f>
        <v>15.428005338625535</v>
      </c>
      <c r="Y23">
        <f t="shared" si="2"/>
        <v>13.19458</v>
      </c>
      <c r="Z23" s="4">
        <f>C56+(W23-B56)*(C57-C56)/(B57-B56)</f>
        <v>5.5578389153630905E-2</v>
      </c>
      <c r="AA23">
        <f t="shared" si="3"/>
        <v>4.6368900000000002</v>
      </c>
      <c r="AB23">
        <f>D56+(W23-B56)*(D57-D56)/(B57-B56)</f>
        <v>300.00059429467046</v>
      </c>
      <c r="AC23">
        <f>(U25+(W23-S25)*(U26-U25)/(S26-S25))+273</f>
        <v>301.45416499999999</v>
      </c>
      <c r="AE23" s="2">
        <v>11</v>
      </c>
      <c r="AF23">
        <v>0.28477999999999998</v>
      </c>
      <c r="AG23" s="6">
        <v>-0.19856879999999999</v>
      </c>
      <c r="AH23" s="5">
        <v>-4.1013638429763702E-2</v>
      </c>
      <c r="AI23">
        <f t="shared" si="0"/>
        <v>0.11</v>
      </c>
      <c r="AJ23" s="9">
        <f>AH68</f>
        <v>0.27606137685514798</v>
      </c>
      <c r="AK23">
        <v>0.28477999999999998</v>
      </c>
    </row>
    <row r="24" spans="1:37">
      <c r="A24">
        <v>15.300142638391099</v>
      </c>
      <c r="B24">
        <v>1.24529999999999E-2</v>
      </c>
      <c r="C24">
        <v>0.127913050572902</v>
      </c>
      <c r="D24">
        <v>300.00313061301</v>
      </c>
      <c r="E24">
        <v>0.38100000000000001</v>
      </c>
      <c r="F24">
        <v>1.24529999999999E-2</v>
      </c>
      <c r="G24">
        <v>0.184</v>
      </c>
      <c r="I24" s="2"/>
      <c r="J24">
        <v>3.948</v>
      </c>
      <c r="K24">
        <v>0.16258800000000001</v>
      </c>
      <c r="L24">
        <v>0.51731000000000005</v>
      </c>
      <c r="M24">
        <v>0.60594999999999999</v>
      </c>
      <c r="N24">
        <v>16.008520000000001</v>
      </c>
      <c r="O24">
        <v>13.969900000000001</v>
      </c>
      <c r="P24">
        <v>4.4930599999999998</v>
      </c>
      <c r="Q24">
        <v>14.674659999999999</v>
      </c>
      <c r="R24">
        <v>17.829000000000001</v>
      </c>
      <c r="S24" s="2">
        <f t="shared" si="1"/>
        <v>2.5000000000000001E-2</v>
      </c>
      <c r="T24">
        <v>2.5</v>
      </c>
      <c r="U24">
        <v>29.092700000000001</v>
      </c>
      <c r="W24">
        <v>3.9480000000000001E-2</v>
      </c>
      <c r="X24" s="4">
        <f>A69+(W24-B69)*(A70-A69)/(B70-B69)</f>
        <v>15.447726994586301</v>
      </c>
      <c r="Y24">
        <f t="shared" si="2"/>
        <v>13.969900000000001</v>
      </c>
      <c r="Z24" s="4">
        <f>C69+(W24-B69)*(C70-C69)/(B70-B69)</f>
        <v>4.4576052520480899E-2</v>
      </c>
      <c r="AA24">
        <f t="shared" si="3"/>
        <v>4.4930599999999998</v>
      </c>
      <c r="AB24">
        <f>D69+(W24-B69)*(D70-D69)/(B70-B69)</f>
        <v>300.00056884890301</v>
      </c>
      <c r="AC24">
        <f>(U26+(W24-S26)*(U27-U26)/(S27-S26))+273</f>
        <v>301.012</v>
      </c>
      <c r="AE24" s="2">
        <v>12</v>
      </c>
      <c r="AF24">
        <v>0.26422000000000001</v>
      </c>
      <c r="AG24" s="6">
        <v>-0.19172159999999899</v>
      </c>
      <c r="AH24" s="5">
        <v>-4.1013638429763702E-2</v>
      </c>
      <c r="AI24">
        <f t="shared" si="0"/>
        <v>0.12</v>
      </c>
      <c r="AJ24" s="9">
        <f>AH69+(AI24-AG69)*(AH70-AH69)/(AG70-AG69)</f>
        <v>0.24683945847846428</v>
      </c>
      <c r="AK24">
        <v>0.26422000000000001</v>
      </c>
    </row>
    <row r="25" spans="1:37">
      <c r="A25">
        <v>15.164914124107799</v>
      </c>
      <c r="B25">
        <v>1.3046E-2</v>
      </c>
      <c r="C25">
        <v>0.108990520762791</v>
      </c>
      <c r="D25">
        <v>300.00473433412401</v>
      </c>
      <c r="E25">
        <v>0.38100000000000001</v>
      </c>
      <c r="F25">
        <v>1.3046E-2</v>
      </c>
      <c r="G25">
        <v>0.184</v>
      </c>
      <c r="I25" s="2"/>
      <c r="J25">
        <v>4.9089999999999998</v>
      </c>
      <c r="K25">
        <v>0.16258800000000001</v>
      </c>
      <c r="L25">
        <v>0.51731000000000005</v>
      </c>
      <c r="M25">
        <v>0.60594999999999999</v>
      </c>
      <c r="N25">
        <v>16.011340000000001</v>
      </c>
      <c r="O25">
        <v>14.169169999999999</v>
      </c>
      <c r="P25">
        <v>4.4709500000000002</v>
      </c>
      <c r="Q25">
        <v>14.85782</v>
      </c>
      <c r="R25">
        <v>17.513000000000002</v>
      </c>
      <c r="S25" s="2">
        <f t="shared" si="1"/>
        <v>0.03</v>
      </c>
      <c r="T25">
        <v>3</v>
      </c>
      <c r="U25">
        <v>28.5837</v>
      </c>
      <c r="W25">
        <v>4.9089999999999995E-2</v>
      </c>
      <c r="X25" s="4">
        <f>A85+(W25-B85)*(A86-A85)/(B86-B85)</f>
        <v>15.186461047548899</v>
      </c>
      <c r="Y25">
        <f t="shared" si="2"/>
        <v>14.169169999999999</v>
      </c>
      <c r="Z25" s="4">
        <f>C85+(W25-B85)*(C86-C85)/(B86-B85)</f>
        <v>2.8151159501922401E-2</v>
      </c>
      <c r="AA25">
        <f t="shared" si="3"/>
        <v>4.4709500000000002</v>
      </c>
      <c r="AB25">
        <f>D85+(W25-B85)*(D86-D85)/(B86-B85)</f>
        <v>300.00540181362999</v>
      </c>
      <c r="AC25">
        <f>(U27+(W25-S27)*(U28-U27)/(S28-S27))+273</f>
        <v>300.86788480000001</v>
      </c>
      <c r="AE25" s="2">
        <v>13</v>
      </c>
      <c r="AF25">
        <v>0.23788000000000001</v>
      </c>
      <c r="AG25" s="6">
        <v>-0.184874399999999</v>
      </c>
      <c r="AH25" s="5">
        <v>1.3629555778965199E-2</v>
      </c>
      <c r="AI25">
        <f t="shared" si="0"/>
        <v>0.13</v>
      </c>
      <c r="AJ25" s="9">
        <f>AH71</f>
        <v>0.22044420999145301</v>
      </c>
      <c r="AK25">
        <v>0.23788000000000001</v>
      </c>
    </row>
    <row r="26" spans="1:37">
      <c r="A26">
        <v>15.164914124107799</v>
      </c>
      <c r="B26">
        <v>1.3639E-2</v>
      </c>
      <c r="C26">
        <v>0.108990520762791</v>
      </c>
      <c r="D26">
        <v>300.00473433412401</v>
      </c>
      <c r="E26">
        <v>0.38100000000000001</v>
      </c>
      <c r="F26">
        <v>1.3639E-2</v>
      </c>
      <c r="G26">
        <v>0.184</v>
      </c>
      <c r="I26" s="2"/>
      <c r="J26">
        <v>5.9089999999999998</v>
      </c>
      <c r="K26">
        <v>0.16258800000000001</v>
      </c>
      <c r="L26">
        <v>0.51731000000000005</v>
      </c>
      <c r="M26">
        <v>0.60594999999999999</v>
      </c>
      <c r="N26">
        <v>16.00976</v>
      </c>
      <c r="O26">
        <v>14.16681</v>
      </c>
      <c r="P26">
        <v>4.4767099999999997</v>
      </c>
      <c r="Q26">
        <v>14.8573</v>
      </c>
      <c r="R26">
        <v>17.536999999999999</v>
      </c>
      <c r="S26" s="2">
        <f t="shared" si="1"/>
        <v>3.5000000000000003E-2</v>
      </c>
      <c r="T26">
        <v>3.5</v>
      </c>
      <c r="U26">
        <v>28.2136</v>
      </c>
      <c r="W26">
        <v>5.9089999999999997E-2</v>
      </c>
      <c r="X26" s="4">
        <f>A102+(W26-B102)*(A103-A102)/(B103-B102)</f>
        <v>15.329928029193345</v>
      </c>
      <c r="Y26">
        <f t="shared" si="2"/>
        <v>14.16681</v>
      </c>
      <c r="Z26" s="4">
        <f>C102+(W26-B102)*(C103-C102)/(B103-B102)</f>
        <v>2.8751828822036578E-3</v>
      </c>
      <c r="AA26">
        <f t="shared" si="3"/>
        <v>4.4767099999999997</v>
      </c>
      <c r="AE26" s="2">
        <v>14</v>
      </c>
      <c r="AF26">
        <v>0.21915000000000001</v>
      </c>
      <c r="AG26" s="6">
        <v>-0.1780272</v>
      </c>
      <c r="AH26" s="5">
        <v>1.3629555778965199E-2</v>
      </c>
      <c r="AI26">
        <f t="shared" si="0"/>
        <v>0.14000000000000001</v>
      </c>
      <c r="AJ26" s="9">
        <f>AH72+(AI26-AG72)*(AH73-AH72)/(AG73-AG72)</f>
        <v>0.16769727449017099</v>
      </c>
      <c r="AK26">
        <v>0.21915000000000001</v>
      </c>
    </row>
    <row r="27" spans="1:37">
      <c r="A27">
        <v>15.164914124107799</v>
      </c>
      <c r="B27">
        <v>1.4232E-2</v>
      </c>
      <c r="C27">
        <v>0.108990520762791</v>
      </c>
      <c r="D27">
        <v>300.00473433412401</v>
      </c>
      <c r="E27">
        <v>0.38100000000000001</v>
      </c>
      <c r="F27">
        <v>1.4232E-2</v>
      </c>
      <c r="G27">
        <v>0.184</v>
      </c>
      <c r="I27" s="2"/>
      <c r="J27">
        <v>5.93</v>
      </c>
      <c r="K27">
        <v>0.16258800000000001</v>
      </c>
      <c r="L27">
        <v>0.51731000000000005</v>
      </c>
      <c r="M27">
        <v>0.60594999999999999</v>
      </c>
      <c r="N27">
        <v>16.011900000000001</v>
      </c>
      <c r="O27">
        <v>14.160410000000001</v>
      </c>
      <c r="P27">
        <v>4.4720500000000003</v>
      </c>
      <c r="Q27">
        <v>14.84979</v>
      </c>
      <c r="R27">
        <v>17.527000000000001</v>
      </c>
      <c r="S27" s="2">
        <f t="shared" si="1"/>
        <v>0.04</v>
      </c>
      <c r="T27">
        <v>4</v>
      </c>
      <c r="U27">
        <v>27.988600000000002</v>
      </c>
      <c r="W27">
        <v>5.9299999999999999E-2</v>
      </c>
      <c r="X27">
        <f>A103</f>
        <v>15.4085913872751</v>
      </c>
      <c r="Y27">
        <f t="shared" si="2"/>
        <v>14.160410000000001</v>
      </c>
      <c r="Z27" s="4">
        <f>C103</f>
        <v>-1.0983707692567001E-2</v>
      </c>
      <c r="AA27">
        <f t="shared" si="3"/>
        <v>4.4720500000000003</v>
      </c>
      <c r="AE27" s="2">
        <v>15</v>
      </c>
      <c r="AF27">
        <v>0.19596</v>
      </c>
      <c r="AG27" s="6">
        <v>-0.17118</v>
      </c>
      <c r="AH27" s="5">
        <v>5.3851046946096999E-2</v>
      </c>
      <c r="AI27">
        <f t="shared" si="0"/>
        <v>0.15</v>
      </c>
      <c r="AJ27" s="9">
        <f>AH74</f>
        <v>0.14064924463835399</v>
      </c>
      <c r="AK27">
        <v>0.19596</v>
      </c>
    </row>
    <row r="28" spans="1:37">
      <c r="A28">
        <v>15.164914124107799</v>
      </c>
      <c r="B28">
        <v>1.4825E-2</v>
      </c>
      <c r="C28">
        <v>0.108990520762791</v>
      </c>
      <c r="D28">
        <v>300.00473433412401</v>
      </c>
      <c r="E28">
        <v>0.38100000000000001</v>
      </c>
      <c r="F28">
        <v>1.4825E-2</v>
      </c>
      <c r="G28">
        <v>0.184</v>
      </c>
      <c r="I28" s="2"/>
      <c r="S28" s="2">
        <f t="shared" si="1"/>
        <v>0.05</v>
      </c>
      <c r="T28">
        <v>5</v>
      </c>
      <c r="U28">
        <v>27.855799999999999</v>
      </c>
      <c r="AE28" s="2">
        <v>16</v>
      </c>
      <c r="AF28">
        <v>0.17538999999999999</v>
      </c>
      <c r="AG28" s="6">
        <v>-0.1643328</v>
      </c>
      <c r="AH28" s="5">
        <v>0.112805995837228</v>
      </c>
      <c r="AI28">
        <f t="shared" si="0"/>
        <v>0.16</v>
      </c>
      <c r="AJ28" s="9">
        <f>AH75+(AI28-AG75)*(AH76-AH75)/(AG76-AG75)</f>
        <v>9.7520024823555332E-2</v>
      </c>
      <c r="AK28">
        <v>0.17538999999999999</v>
      </c>
    </row>
    <row r="29" spans="1:37">
      <c r="A29">
        <v>15.164914124107799</v>
      </c>
      <c r="B29">
        <v>1.5417999999999901E-2</v>
      </c>
      <c r="C29">
        <v>0.108990520762791</v>
      </c>
      <c r="D29">
        <v>300.00473433412401</v>
      </c>
      <c r="E29">
        <v>0.38100000000000001</v>
      </c>
      <c r="F29">
        <v>1.5417999999999901E-2</v>
      </c>
      <c r="G29">
        <v>0.184</v>
      </c>
      <c r="AE29" s="2">
        <v>17</v>
      </c>
      <c r="AF29">
        <v>0.15337999999999999</v>
      </c>
      <c r="AG29" s="6">
        <v>-0.157485599999999</v>
      </c>
      <c r="AH29" s="5">
        <v>0.112805995837228</v>
      </c>
      <c r="AI29">
        <f t="shared" si="0"/>
        <v>0.17</v>
      </c>
      <c r="AJ29" s="9">
        <f>AH77</f>
        <v>8.0669610429053407E-2</v>
      </c>
      <c r="AK29">
        <v>0.15337999999999999</v>
      </c>
    </row>
    <row r="30" spans="1:37">
      <c r="A30">
        <v>15.164914124107799</v>
      </c>
      <c r="B30">
        <v>1.6011000000000001E-2</v>
      </c>
      <c r="C30">
        <v>0.108990520762791</v>
      </c>
      <c r="D30">
        <v>300.00473433412401</v>
      </c>
      <c r="E30">
        <v>0.38100000000000001</v>
      </c>
      <c r="F30">
        <v>1.6011000000000001E-2</v>
      </c>
      <c r="G30">
        <v>0.184</v>
      </c>
      <c r="AE30" s="2">
        <v>18</v>
      </c>
      <c r="AF30">
        <v>0.13275999999999999</v>
      </c>
      <c r="AG30" s="6">
        <v>-0.15063839999999901</v>
      </c>
      <c r="AH30" s="5">
        <v>0.112805995837228</v>
      </c>
      <c r="AI30">
        <f t="shared" si="0"/>
        <v>0.18</v>
      </c>
      <c r="AJ30" s="9">
        <f>AH78+(AI30-AG78)*(AH79-AH78)/(AG79-AG78)</f>
        <v>2.8464211657914601E-2</v>
      </c>
      <c r="AK30">
        <v>0.13275999999999999</v>
      </c>
    </row>
    <row r="31" spans="1:37">
      <c r="A31">
        <v>15.164914124107799</v>
      </c>
      <c r="B31">
        <v>1.6604000000000001E-2</v>
      </c>
      <c r="C31">
        <v>0.108990520762791</v>
      </c>
      <c r="D31">
        <v>300.00473433412401</v>
      </c>
      <c r="E31">
        <v>0.38100000000000001</v>
      </c>
      <c r="F31">
        <v>1.6604000000000001E-2</v>
      </c>
      <c r="G31">
        <v>0.184</v>
      </c>
      <c r="AE31" s="2">
        <v>19</v>
      </c>
      <c r="AF31">
        <v>0.11186</v>
      </c>
      <c r="AG31" s="6">
        <v>-0.14379120000000001</v>
      </c>
      <c r="AH31" s="5">
        <v>0.14846591556073799</v>
      </c>
      <c r="AI31">
        <f t="shared" si="0"/>
        <v>0.19</v>
      </c>
      <c r="AJ31" s="9">
        <f>AH80</f>
        <v>-1.1746732117382299E-2</v>
      </c>
      <c r="AK31">
        <v>0.11186</v>
      </c>
    </row>
    <row r="32" spans="1:37">
      <c r="A32">
        <v>15.164914124107799</v>
      </c>
      <c r="B32">
        <v>1.71969999999999E-2</v>
      </c>
      <c r="C32">
        <v>0.108990520762791</v>
      </c>
      <c r="D32">
        <v>300.00473433412401</v>
      </c>
      <c r="E32">
        <v>0.38100000000000001</v>
      </c>
      <c r="F32">
        <v>1.71969999999999E-2</v>
      </c>
      <c r="G32">
        <v>0.184</v>
      </c>
      <c r="AE32" s="2">
        <v>20</v>
      </c>
      <c r="AF32">
        <v>8.9719999999999994E-2</v>
      </c>
      <c r="AG32" s="6">
        <v>-0.13694400000000001</v>
      </c>
      <c r="AH32" s="5">
        <v>0.19755596244670501</v>
      </c>
      <c r="AI32">
        <f t="shared" si="0"/>
        <v>0.2</v>
      </c>
      <c r="AJ32" s="9">
        <f>AH81</f>
        <v>-6.0412113150029499E-2</v>
      </c>
      <c r="AK32">
        <v>8.9719999999999994E-2</v>
      </c>
    </row>
    <row r="33" spans="1:37">
      <c r="A33">
        <v>15.164914124107799</v>
      </c>
      <c r="B33">
        <v>1.779E-2</v>
      </c>
      <c r="C33">
        <v>0.108990520762791</v>
      </c>
      <c r="D33">
        <v>300.00473433412401</v>
      </c>
      <c r="E33">
        <v>0.38100000000000001</v>
      </c>
      <c r="F33">
        <v>1.779E-2</v>
      </c>
      <c r="G33">
        <v>0.184</v>
      </c>
      <c r="AE33" s="2">
        <v>21</v>
      </c>
      <c r="AF33">
        <v>6.6680000000000003E-2</v>
      </c>
      <c r="AG33" s="6">
        <v>-0.13009680000000001</v>
      </c>
      <c r="AH33" s="5">
        <v>0.19755596244670501</v>
      </c>
      <c r="AI33">
        <f t="shared" si="0"/>
        <v>0.21</v>
      </c>
      <c r="AJ33" s="9">
        <f>AH82+(AI33-AG82)*(AH83-AH82)/(AG83-AG82)</f>
        <v>-7.2845159119491479E-2</v>
      </c>
      <c r="AK33">
        <v>6.6680000000000003E-2</v>
      </c>
    </row>
    <row r="34" spans="1:37">
      <c r="A34">
        <v>15.164914124107799</v>
      </c>
      <c r="B34">
        <v>1.8383E-2</v>
      </c>
      <c r="C34">
        <v>0.108990520762791</v>
      </c>
      <c r="D34">
        <v>300.00473433412401</v>
      </c>
      <c r="E34">
        <v>0.38100000000000001</v>
      </c>
      <c r="F34">
        <v>1.8383E-2</v>
      </c>
      <c r="G34">
        <v>0.184</v>
      </c>
      <c r="AE34" s="2">
        <v>22</v>
      </c>
      <c r="AF34">
        <v>4.521E-2</v>
      </c>
      <c r="AG34" s="6">
        <v>-0.123249599999999</v>
      </c>
      <c r="AH34" s="5">
        <v>0.254676478392863</v>
      </c>
      <c r="AI34">
        <f t="shared" si="0"/>
        <v>0.22</v>
      </c>
      <c r="AJ34" s="9">
        <f>AH84</f>
        <v>-0.12810193265278599</v>
      </c>
      <c r="AK34">
        <v>4.521E-2</v>
      </c>
    </row>
    <row r="35" spans="1:37">
      <c r="A35">
        <v>15.164914124107799</v>
      </c>
      <c r="B35">
        <v>1.8976E-2</v>
      </c>
      <c r="C35">
        <v>0.108990520762791</v>
      </c>
      <c r="D35">
        <v>300.00473433412401</v>
      </c>
      <c r="E35">
        <v>0.38100000000000001</v>
      </c>
      <c r="F35">
        <v>1.8976E-2</v>
      </c>
      <c r="G35">
        <v>0.184</v>
      </c>
      <c r="AE35" s="2">
        <v>23</v>
      </c>
      <c r="AF35">
        <v>2.0990000000000002E-2</v>
      </c>
      <c r="AG35" s="6">
        <v>-0.116402399999999</v>
      </c>
      <c r="AH35" s="5">
        <v>0.254676478392863</v>
      </c>
      <c r="AI35" s="6">
        <f t="shared" si="0"/>
        <v>0.23</v>
      </c>
      <c r="AJ35" s="9">
        <f>AH85+(AI35-AG85)*(AH86-AH85)/(AG86-AG85)</f>
        <v>-0.15746239229487433</v>
      </c>
      <c r="AK35">
        <v>2.0990000000000002E-2</v>
      </c>
    </row>
    <row r="36" spans="1:37">
      <c r="A36">
        <v>15.164914124107799</v>
      </c>
      <c r="B36">
        <v>1.9569E-2</v>
      </c>
      <c r="C36">
        <v>0.108990520762791</v>
      </c>
      <c r="D36">
        <v>300.00473433412401</v>
      </c>
      <c r="E36">
        <v>0.38100000000000001</v>
      </c>
      <c r="F36">
        <v>1.9569E-2</v>
      </c>
      <c r="G36">
        <v>0.184</v>
      </c>
      <c r="AE36" s="2">
        <v>24</v>
      </c>
      <c r="AF36">
        <v>-3.0799999999999998E-3</v>
      </c>
      <c r="AG36" s="6">
        <v>-0.10955519999999901</v>
      </c>
      <c r="AH36" s="5">
        <v>0.254676478392863</v>
      </c>
      <c r="AI36" s="6">
        <f t="shared" si="0"/>
        <v>0.24</v>
      </c>
      <c r="AJ36" s="9">
        <f>AH87</f>
        <v>-0.17783400747498501</v>
      </c>
      <c r="AK36">
        <v>-3.0799999999999998E-3</v>
      </c>
    </row>
    <row r="37" spans="1:37">
      <c r="A37">
        <v>15.164914124107799</v>
      </c>
      <c r="B37">
        <v>2.0161999999999899E-2</v>
      </c>
      <c r="C37">
        <v>0.108990520762791</v>
      </c>
      <c r="D37">
        <v>300.00473433412401</v>
      </c>
      <c r="E37">
        <v>0.38100000000000001</v>
      </c>
      <c r="F37">
        <v>2.0161999999999899E-2</v>
      </c>
      <c r="G37">
        <v>0.184</v>
      </c>
      <c r="AE37" s="2">
        <v>25</v>
      </c>
      <c r="AF37">
        <v>-2.52E-2</v>
      </c>
      <c r="AG37" s="7">
        <v>-0.10270799999999999</v>
      </c>
      <c r="AH37" s="5">
        <v>0.31015912816138302</v>
      </c>
      <c r="AI37">
        <f t="shared" si="0"/>
        <v>0.25</v>
      </c>
      <c r="AJ37" s="9">
        <f>AH88+(AI37-AG88)*(AH89-AH88)/(AG89-AG88)</f>
        <v>-0.24697765853093609</v>
      </c>
      <c r="AK37">
        <v>-2.52E-2</v>
      </c>
    </row>
    <row r="38" spans="1:37">
      <c r="A38">
        <v>15.164914124107799</v>
      </c>
      <c r="B38">
        <v>2.0754999999999899E-2</v>
      </c>
      <c r="C38">
        <v>0.108990520762791</v>
      </c>
      <c r="D38">
        <v>300.00473433412401</v>
      </c>
      <c r="E38">
        <v>0.38100000000000001</v>
      </c>
      <c r="F38">
        <v>2.0754999999999899E-2</v>
      </c>
      <c r="G38">
        <v>0.184</v>
      </c>
      <c r="AE38" s="2">
        <v>26</v>
      </c>
      <c r="AF38">
        <v>-4.7800000000000002E-2</v>
      </c>
      <c r="AG38" s="7">
        <v>-9.5860799999999899E-2</v>
      </c>
      <c r="AH38" s="5">
        <v>0.31015912816138302</v>
      </c>
      <c r="AI38">
        <f t="shared" si="0"/>
        <v>0.26</v>
      </c>
      <c r="AJ38" s="9">
        <f>AH90</f>
        <v>-0.26165454198626797</v>
      </c>
      <c r="AK38">
        <v>-4.7800000000000002E-2</v>
      </c>
    </row>
    <row r="39" spans="1:37">
      <c r="A39">
        <v>15.164914124107799</v>
      </c>
      <c r="B39">
        <v>2.1347999999999898E-2</v>
      </c>
      <c r="C39">
        <v>0.108990520762791</v>
      </c>
      <c r="D39">
        <v>300.00473433412401</v>
      </c>
      <c r="E39">
        <v>0.38100000000000001</v>
      </c>
      <c r="F39">
        <v>2.1347999999999898E-2</v>
      </c>
      <c r="G39">
        <v>0.184</v>
      </c>
      <c r="AE39" s="2">
        <v>27</v>
      </c>
      <c r="AF39">
        <v>-7.4230000000000004E-2</v>
      </c>
      <c r="AG39" s="6">
        <v>-8.9013599999999998E-2</v>
      </c>
      <c r="AH39" s="5">
        <v>0.31015912816138302</v>
      </c>
      <c r="AI39">
        <f t="shared" si="0"/>
        <v>0.27</v>
      </c>
      <c r="AJ39" s="9">
        <f>AH91+(AI39-AG91)*(AH92-AH91)/(AG92-AG91)</f>
        <v>-0.31866977584593298</v>
      </c>
      <c r="AK39">
        <v>-7.4230000000000004E-2</v>
      </c>
    </row>
    <row r="40" spans="1:37">
      <c r="A40">
        <v>15.4047308843483</v>
      </c>
      <c r="B40">
        <v>2.1940999999999902E-2</v>
      </c>
      <c r="C40">
        <v>6.8562764371433202E-2</v>
      </c>
      <c r="D40">
        <v>300.00062432441803</v>
      </c>
      <c r="E40">
        <v>0.38100000000000001</v>
      </c>
      <c r="F40">
        <v>2.1940999999999902E-2</v>
      </c>
      <c r="G40">
        <v>0.184</v>
      </c>
      <c r="AG40" s="7">
        <v>-8.2166399999999903E-2</v>
      </c>
      <c r="AH40" s="5">
        <v>0.36409514887850403</v>
      </c>
    </row>
    <row r="41" spans="1:37">
      <c r="A41">
        <v>15.4047308843483</v>
      </c>
      <c r="B41">
        <v>2.2533999999999901E-2</v>
      </c>
      <c r="C41">
        <v>6.8562764371433202E-2</v>
      </c>
      <c r="D41">
        <v>300.00062432441803</v>
      </c>
      <c r="E41">
        <v>0.38100000000000001</v>
      </c>
      <c r="F41">
        <v>2.2533999999999901E-2</v>
      </c>
      <c r="G41">
        <v>0.184</v>
      </c>
      <c r="AG41" s="7">
        <v>-7.5319199999999906E-2</v>
      </c>
      <c r="AH41" s="5">
        <v>0.36409514887850403</v>
      </c>
    </row>
    <row r="42" spans="1:37">
      <c r="A42">
        <v>15.4047308843483</v>
      </c>
      <c r="B42">
        <v>2.3127000000000002E-2</v>
      </c>
      <c r="C42">
        <v>6.8562764371433202E-2</v>
      </c>
      <c r="D42">
        <v>300.00062432441803</v>
      </c>
      <c r="E42">
        <v>0.38100000000000001</v>
      </c>
      <c r="F42">
        <v>2.3127000000000002E-2</v>
      </c>
      <c r="G42">
        <v>0.184</v>
      </c>
      <c r="AG42" s="6">
        <v>-6.8471999999999894E-2</v>
      </c>
      <c r="AH42" s="5">
        <v>0.42062504016364</v>
      </c>
    </row>
    <row r="43" spans="1:37">
      <c r="A43">
        <v>15.4047308843483</v>
      </c>
      <c r="B43">
        <v>2.3720000000000001E-2</v>
      </c>
      <c r="C43">
        <v>6.8562764371433202E-2</v>
      </c>
      <c r="D43">
        <v>300.00062432441803</v>
      </c>
      <c r="E43">
        <v>0.38100000000000001</v>
      </c>
      <c r="F43">
        <v>2.3720000000000001E-2</v>
      </c>
      <c r="G43">
        <v>0.184</v>
      </c>
      <c r="AG43" s="6">
        <v>-6.16248E-2</v>
      </c>
      <c r="AH43" s="5">
        <v>0.41811304857541198</v>
      </c>
    </row>
    <row r="44" spans="1:37">
      <c r="A44">
        <v>15.4047308843483</v>
      </c>
      <c r="B44">
        <v>2.4312999999999901E-2</v>
      </c>
      <c r="C44">
        <v>6.8562764371433202E-2</v>
      </c>
      <c r="D44">
        <v>300.00062432441803</v>
      </c>
      <c r="E44">
        <v>0.38100000000000001</v>
      </c>
      <c r="F44">
        <v>2.4312999999999901E-2</v>
      </c>
      <c r="G44">
        <v>0.184</v>
      </c>
      <c r="AG44" s="7">
        <v>-5.4777600000000003E-2</v>
      </c>
      <c r="AH44" s="5">
        <v>0.41811304857541198</v>
      </c>
    </row>
    <row r="45" spans="1:37">
      <c r="A45">
        <v>15.4047308843483</v>
      </c>
      <c r="B45">
        <v>2.49059999999999E-2</v>
      </c>
      <c r="C45">
        <v>6.8562764371433202E-2</v>
      </c>
      <c r="D45">
        <v>300.00062432441803</v>
      </c>
      <c r="E45">
        <v>0.38100000000000001</v>
      </c>
      <c r="F45">
        <v>2.49059999999999E-2</v>
      </c>
      <c r="G45">
        <v>0.184</v>
      </c>
      <c r="AG45" s="7">
        <v>-4.7930399999999901E-2</v>
      </c>
      <c r="AH45" s="5">
        <v>0.46775896624830399</v>
      </c>
    </row>
    <row r="46" spans="1:37">
      <c r="A46">
        <v>15.4047308843483</v>
      </c>
      <c r="B46">
        <v>2.54989999999999E-2</v>
      </c>
      <c r="C46">
        <v>6.8562764371433202E-2</v>
      </c>
      <c r="D46">
        <v>300.00062432441803</v>
      </c>
      <c r="E46">
        <v>0.38100000000000001</v>
      </c>
      <c r="F46">
        <v>2.54989999999999E-2</v>
      </c>
      <c r="G46">
        <v>0.184</v>
      </c>
      <c r="AG46" s="6">
        <v>-4.1083199999999903E-2</v>
      </c>
      <c r="AH46" s="5">
        <v>0.46881750316382897</v>
      </c>
    </row>
    <row r="47" spans="1:37">
      <c r="A47">
        <v>15.4047308843483</v>
      </c>
      <c r="B47">
        <v>2.6092000000000001E-2</v>
      </c>
      <c r="C47">
        <v>6.8562764371433202E-2</v>
      </c>
      <c r="D47">
        <v>300.00062432441803</v>
      </c>
      <c r="E47">
        <v>0.38100000000000001</v>
      </c>
      <c r="F47">
        <v>2.6092000000000001E-2</v>
      </c>
      <c r="G47">
        <v>0.184</v>
      </c>
      <c r="AG47" s="7">
        <v>-3.4235999999999898E-2</v>
      </c>
      <c r="AH47" s="5">
        <v>0.51377035600739196</v>
      </c>
    </row>
    <row r="48" spans="1:37">
      <c r="A48">
        <v>15.4047308843483</v>
      </c>
      <c r="B48">
        <v>2.6685E-2</v>
      </c>
      <c r="C48">
        <v>6.8562764371433202E-2</v>
      </c>
      <c r="D48">
        <v>300.00062432441803</v>
      </c>
      <c r="E48">
        <v>0.38100000000000001</v>
      </c>
      <c r="F48">
        <v>2.6685E-2</v>
      </c>
      <c r="G48">
        <v>0.184</v>
      </c>
      <c r="AG48" s="7">
        <v>-2.7388799999999901E-2</v>
      </c>
      <c r="AH48" s="5">
        <v>0.51377035600739196</v>
      </c>
    </row>
    <row r="49" spans="1:34">
      <c r="A49">
        <v>15.4047308843483</v>
      </c>
      <c r="B49">
        <v>2.7278E-2</v>
      </c>
      <c r="C49">
        <v>6.8562764371433202E-2</v>
      </c>
      <c r="D49">
        <v>300.00062432441803</v>
      </c>
      <c r="E49">
        <v>0.38100000000000001</v>
      </c>
      <c r="F49">
        <v>2.7278E-2</v>
      </c>
      <c r="G49">
        <v>0.184</v>
      </c>
      <c r="AG49" s="6">
        <v>-2.05415999999999E-2</v>
      </c>
      <c r="AH49" s="5">
        <v>0.51377035600739196</v>
      </c>
    </row>
    <row r="50" spans="1:34">
      <c r="A50">
        <v>15.4047308843483</v>
      </c>
      <c r="B50">
        <v>2.7870999999999899E-2</v>
      </c>
      <c r="C50">
        <v>6.8562764371433202E-2</v>
      </c>
      <c r="D50">
        <v>300.00062432441803</v>
      </c>
      <c r="E50">
        <v>0.38100000000000001</v>
      </c>
      <c r="F50">
        <v>2.7870999999999899E-2</v>
      </c>
      <c r="G50">
        <v>0.184</v>
      </c>
      <c r="AG50" s="7">
        <v>-1.36943999999999E-2</v>
      </c>
      <c r="AH50" s="5">
        <v>0.51145508083347502</v>
      </c>
    </row>
    <row r="51" spans="1:34">
      <c r="A51">
        <v>15.4047308843483</v>
      </c>
      <c r="B51">
        <v>2.8464E-2</v>
      </c>
      <c r="C51">
        <v>6.8562764371433202E-2</v>
      </c>
      <c r="D51">
        <v>300.00062432441803</v>
      </c>
      <c r="E51">
        <v>0.38100000000000001</v>
      </c>
      <c r="F51">
        <v>2.8464E-2</v>
      </c>
      <c r="G51">
        <v>0.184</v>
      </c>
      <c r="AG51" s="7">
        <v>-6.8471999999999899E-3</v>
      </c>
      <c r="AH51" s="5">
        <v>0.51145508083347502</v>
      </c>
    </row>
    <row r="52" spans="1:34">
      <c r="A52">
        <v>15.4047308843483</v>
      </c>
      <c r="B52">
        <v>2.9056999999999899E-2</v>
      </c>
      <c r="C52">
        <v>6.8562764371433202E-2</v>
      </c>
      <c r="D52">
        <v>300.00062432441803</v>
      </c>
      <c r="E52">
        <v>0.38100000000000001</v>
      </c>
      <c r="F52">
        <v>2.9056999999999899E-2</v>
      </c>
      <c r="G52">
        <v>0.184</v>
      </c>
      <c r="AG52" s="6">
        <v>0</v>
      </c>
      <c r="AH52" s="5">
        <v>0.53912446047368501</v>
      </c>
    </row>
    <row r="53" spans="1:34">
      <c r="A53">
        <v>15.4047308843483</v>
      </c>
      <c r="B53">
        <v>2.9649999999999899E-2</v>
      </c>
      <c r="C53">
        <v>6.8562764371433202E-2</v>
      </c>
      <c r="D53">
        <v>300.00062432441803</v>
      </c>
      <c r="E53">
        <v>0.38100000000000001</v>
      </c>
      <c r="F53">
        <v>2.9649999999999899E-2</v>
      </c>
      <c r="G53">
        <v>0.184</v>
      </c>
      <c r="AG53" s="7">
        <v>6.8471999999999899E-3</v>
      </c>
      <c r="AH53" s="5">
        <v>0.53912446047368501</v>
      </c>
    </row>
    <row r="54" spans="1:34">
      <c r="A54">
        <v>15.4047308843483</v>
      </c>
      <c r="B54">
        <v>3.0242999999999898E-2</v>
      </c>
      <c r="C54">
        <v>6.8562764371433202E-2</v>
      </c>
      <c r="D54">
        <v>300.00062432441803</v>
      </c>
      <c r="E54">
        <v>0.38100000000000001</v>
      </c>
      <c r="F54">
        <v>3.0242999999999898E-2</v>
      </c>
      <c r="G54">
        <v>0.184</v>
      </c>
      <c r="AG54" s="7">
        <v>1.36943999999999E-2</v>
      </c>
      <c r="AH54" s="5">
        <v>0.56042846126311097</v>
      </c>
    </row>
    <row r="55" spans="1:34">
      <c r="A55">
        <v>15.4047308843483</v>
      </c>
      <c r="B55">
        <v>3.0835999999999902E-2</v>
      </c>
      <c r="C55">
        <v>6.8562764371433202E-2</v>
      </c>
      <c r="D55">
        <v>300.00062432441803</v>
      </c>
      <c r="E55">
        <v>0.38100000000000001</v>
      </c>
      <c r="F55">
        <v>3.0835999999999902E-2</v>
      </c>
      <c r="G55">
        <v>0.184</v>
      </c>
      <c r="AG55" s="6">
        <v>2.05415999999999E-2</v>
      </c>
      <c r="AH55" s="5">
        <v>0.56042846126311097</v>
      </c>
    </row>
    <row r="56" spans="1:34">
      <c r="A56">
        <v>15.4047308843483</v>
      </c>
      <c r="B56">
        <v>3.1428999999999901E-2</v>
      </c>
      <c r="C56">
        <v>6.8562764371433202E-2</v>
      </c>
      <c r="D56">
        <v>300.00062432441803</v>
      </c>
      <c r="E56">
        <v>0.38100000000000001</v>
      </c>
      <c r="F56">
        <v>3.1428999999999901E-2</v>
      </c>
      <c r="G56">
        <v>0.184</v>
      </c>
      <c r="AG56" s="7">
        <v>2.7388800000000001E-2</v>
      </c>
      <c r="AH56" s="5">
        <v>0.50822631733123302</v>
      </c>
    </row>
    <row r="57" spans="1:34">
      <c r="A57">
        <v>15.447726994586301</v>
      </c>
      <c r="B57">
        <v>3.2022000000000002E-2</v>
      </c>
      <c r="C57">
        <v>4.4576052520480899E-2</v>
      </c>
      <c r="D57">
        <v>300.00056884890301</v>
      </c>
      <c r="E57">
        <v>0.38100000000000001</v>
      </c>
      <c r="F57">
        <v>3.2022000000000002E-2</v>
      </c>
      <c r="G57">
        <v>0.184</v>
      </c>
      <c r="AG57" s="7">
        <v>3.4236000000000003E-2</v>
      </c>
      <c r="AH57" s="5">
        <v>0.50822631733123302</v>
      </c>
    </row>
    <row r="58" spans="1:34">
      <c r="A58">
        <v>15.447726994586301</v>
      </c>
      <c r="B58">
        <v>3.2614999999999998E-2</v>
      </c>
      <c r="C58">
        <v>4.4576052520480899E-2</v>
      </c>
      <c r="D58">
        <v>300.00056884890301</v>
      </c>
      <c r="E58">
        <v>0.38100000000000001</v>
      </c>
      <c r="F58">
        <v>3.2614999999999998E-2</v>
      </c>
      <c r="G58">
        <v>0.184</v>
      </c>
      <c r="AG58" s="6">
        <v>4.10832E-2</v>
      </c>
      <c r="AH58" s="5">
        <v>0.47024510294127198</v>
      </c>
    </row>
    <row r="59" spans="1:34">
      <c r="A59">
        <v>15.447726994586301</v>
      </c>
      <c r="B59">
        <v>3.3208000000000001E-2</v>
      </c>
      <c r="C59">
        <v>4.4576052520480899E-2</v>
      </c>
      <c r="D59">
        <v>300.00056884890301</v>
      </c>
      <c r="E59">
        <v>0.38100000000000001</v>
      </c>
      <c r="F59">
        <v>3.3208000000000001E-2</v>
      </c>
      <c r="G59">
        <v>0.184</v>
      </c>
      <c r="AG59" s="7">
        <v>4.7930399999999901E-2</v>
      </c>
      <c r="AH59" s="5">
        <v>0.47024510294127198</v>
      </c>
    </row>
    <row r="60" spans="1:34">
      <c r="A60">
        <v>15.447726994586301</v>
      </c>
      <c r="B60">
        <v>3.3800999999999901E-2</v>
      </c>
      <c r="C60">
        <v>4.4576052520480899E-2</v>
      </c>
      <c r="D60">
        <v>300.00056884890301</v>
      </c>
      <c r="E60">
        <v>0.38100000000000001</v>
      </c>
      <c r="F60">
        <v>3.3800999999999901E-2</v>
      </c>
      <c r="G60">
        <v>0.184</v>
      </c>
      <c r="AG60" s="7">
        <v>5.4777599999999899E-2</v>
      </c>
      <c r="AH60" s="5">
        <v>0.43436709835353099</v>
      </c>
    </row>
    <row r="61" spans="1:34">
      <c r="A61">
        <v>15.447726994586301</v>
      </c>
      <c r="B61">
        <v>3.4393999999999897E-2</v>
      </c>
      <c r="C61">
        <v>4.4576052520480899E-2</v>
      </c>
      <c r="D61">
        <v>300.00056884890301</v>
      </c>
      <c r="E61">
        <v>0.38100000000000001</v>
      </c>
      <c r="F61">
        <v>3.4393999999999897E-2</v>
      </c>
      <c r="G61">
        <v>0.184</v>
      </c>
      <c r="AG61" s="6">
        <v>6.1624799999999903E-2</v>
      </c>
      <c r="AH61" s="5">
        <v>0.43436709835353099</v>
      </c>
    </row>
    <row r="62" spans="1:34">
      <c r="A62">
        <v>15.447726994586301</v>
      </c>
      <c r="B62">
        <v>3.49869999999999E-2</v>
      </c>
      <c r="C62">
        <v>4.4576052520480899E-2</v>
      </c>
      <c r="D62">
        <v>300.00056884890301</v>
      </c>
      <c r="E62">
        <v>0.38100000000000001</v>
      </c>
      <c r="F62">
        <v>3.49869999999999E-2</v>
      </c>
      <c r="G62">
        <v>0.184</v>
      </c>
      <c r="AG62" s="6">
        <v>6.8471999999999894E-2</v>
      </c>
      <c r="AH62" s="5">
        <v>0.40517692530239702</v>
      </c>
    </row>
    <row r="63" spans="1:34">
      <c r="A63">
        <v>15.447726994586301</v>
      </c>
      <c r="B63">
        <v>3.5580000000000001E-2</v>
      </c>
      <c r="C63">
        <v>4.4576052520480899E-2</v>
      </c>
      <c r="D63">
        <v>300.00056884890301</v>
      </c>
      <c r="E63">
        <v>0.38100000000000001</v>
      </c>
      <c r="F63">
        <v>3.5580000000000001E-2</v>
      </c>
      <c r="G63">
        <v>0.184</v>
      </c>
      <c r="AG63" s="7">
        <v>7.5319199999999906E-2</v>
      </c>
      <c r="AH63" s="5">
        <v>0.38719183340624902</v>
      </c>
    </row>
    <row r="64" spans="1:34">
      <c r="A64">
        <v>15.447726994586301</v>
      </c>
      <c r="B64">
        <v>3.61729999999999E-2</v>
      </c>
      <c r="C64">
        <v>4.4576052520480899E-2</v>
      </c>
      <c r="D64">
        <v>300.00056884890301</v>
      </c>
      <c r="E64">
        <v>0.38100000000000001</v>
      </c>
      <c r="F64">
        <v>3.61729999999999E-2</v>
      </c>
      <c r="G64">
        <v>0.184</v>
      </c>
      <c r="AG64" s="7">
        <v>8.2166399999999903E-2</v>
      </c>
      <c r="AH64" s="5">
        <v>0.34984758733953503</v>
      </c>
    </row>
    <row r="65" spans="1:34">
      <c r="A65">
        <v>15.447726994586301</v>
      </c>
      <c r="B65">
        <v>3.6766E-2</v>
      </c>
      <c r="C65">
        <v>4.4576052520480899E-2</v>
      </c>
      <c r="D65">
        <v>300.00056884890301</v>
      </c>
      <c r="E65">
        <v>0.38100000000000001</v>
      </c>
      <c r="F65">
        <v>3.6766E-2</v>
      </c>
      <c r="G65">
        <v>0.184</v>
      </c>
      <c r="AG65" s="6">
        <v>8.9013599999999998E-2</v>
      </c>
      <c r="AH65" s="5">
        <v>0.34984758733953503</v>
      </c>
    </row>
    <row r="66" spans="1:34">
      <c r="A66">
        <v>15.447726994586301</v>
      </c>
      <c r="B66">
        <v>3.7358999999999899E-2</v>
      </c>
      <c r="C66">
        <v>4.4576052520480899E-2</v>
      </c>
      <c r="D66">
        <v>300.00056884890301</v>
      </c>
      <c r="E66">
        <v>0.38100000000000001</v>
      </c>
      <c r="F66">
        <v>3.7358999999999899E-2</v>
      </c>
      <c r="G66">
        <v>0.184</v>
      </c>
      <c r="AG66" s="7">
        <v>9.5860799999999996E-2</v>
      </c>
      <c r="AH66" s="5">
        <v>0.32033882115825701</v>
      </c>
    </row>
    <row r="67" spans="1:34">
      <c r="A67">
        <v>15.447726994586301</v>
      </c>
      <c r="B67">
        <v>3.7952E-2</v>
      </c>
      <c r="C67">
        <v>4.4576052520480899E-2</v>
      </c>
      <c r="D67">
        <v>300.00056884890301</v>
      </c>
      <c r="E67">
        <v>0.38100000000000001</v>
      </c>
      <c r="F67">
        <v>3.7952E-2</v>
      </c>
      <c r="G67">
        <v>0.184</v>
      </c>
      <c r="AG67" s="7">
        <v>0.10270799999999999</v>
      </c>
      <c r="AH67" s="5">
        <v>0.27606137685514798</v>
      </c>
    </row>
    <row r="68" spans="1:34">
      <c r="A68">
        <v>15.447726994586301</v>
      </c>
      <c r="B68">
        <v>3.8545000000000003E-2</v>
      </c>
      <c r="C68">
        <v>4.4576052520480899E-2</v>
      </c>
      <c r="D68">
        <v>300.00056884890301</v>
      </c>
      <c r="E68">
        <v>0.38100000000000001</v>
      </c>
      <c r="F68">
        <v>3.8545000000000003E-2</v>
      </c>
      <c r="G68">
        <v>0.184</v>
      </c>
      <c r="AG68" s="6">
        <v>0.10955520000000001</v>
      </c>
      <c r="AH68" s="5">
        <v>0.27606137685514798</v>
      </c>
    </row>
    <row r="69" spans="1:34">
      <c r="A69">
        <v>15.447726994586301</v>
      </c>
      <c r="B69">
        <v>3.9137999999999902E-2</v>
      </c>
      <c r="C69">
        <v>4.4576052520480899E-2</v>
      </c>
      <c r="D69">
        <v>300.00056884890301</v>
      </c>
      <c r="E69">
        <v>0.38100000000000001</v>
      </c>
      <c r="F69">
        <v>3.9137999999999902E-2</v>
      </c>
      <c r="G69">
        <v>0.184</v>
      </c>
      <c r="AG69" s="7">
        <v>0.1164024</v>
      </c>
      <c r="AH69" s="5">
        <v>0.27606137685514798</v>
      </c>
    </row>
    <row r="70" spans="1:34">
      <c r="A70">
        <v>15.447726994586301</v>
      </c>
      <c r="B70">
        <v>3.9731000000000002E-2</v>
      </c>
      <c r="C70">
        <v>4.4576052520480899E-2</v>
      </c>
      <c r="D70">
        <v>300.00056884890301</v>
      </c>
      <c r="E70">
        <v>0.38100000000000001</v>
      </c>
      <c r="F70">
        <v>3.9731000000000002E-2</v>
      </c>
      <c r="G70">
        <v>0.184</v>
      </c>
      <c r="AG70" s="7">
        <v>0.1232496</v>
      </c>
      <c r="AH70" s="5">
        <v>0.22044420999145301</v>
      </c>
    </row>
    <row r="71" spans="1:34">
      <c r="A71">
        <v>15.447726994586301</v>
      </c>
      <c r="B71">
        <v>4.0323999999999902E-2</v>
      </c>
      <c r="C71">
        <v>4.4576052520480899E-2</v>
      </c>
      <c r="D71">
        <v>300.00056884890301</v>
      </c>
      <c r="E71">
        <v>0.38100000000000001</v>
      </c>
      <c r="F71">
        <v>4.0323999999999902E-2</v>
      </c>
      <c r="G71">
        <v>0.184</v>
      </c>
      <c r="AG71" s="6">
        <v>0.13009679999999901</v>
      </c>
      <c r="AH71" s="5">
        <v>0.22044420999145301</v>
      </c>
    </row>
    <row r="72" spans="1:34">
      <c r="A72">
        <v>15.447726994586301</v>
      </c>
      <c r="B72">
        <v>4.0916999999999898E-2</v>
      </c>
      <c r="C72">
        <v>4.4576052520480899E-2</v>
      </c>
      <c r="D72">
        <v>300.00056884890301</v>
      </c>
      <c r="E72">
        <v>0.38100000000000001</v>
      </c>
      <c r="F72">
        <v>4.0916999999999898E-2</v>
      </c>
      <c r="G72">
        <v>0.184</v>
      </c>
      <c r="AG72" s="7">
        <v>0.13694399999999901</v>
      </c>
      <c r="AH72" s="5">
        <v>0.16769727449017099</v>
      </c>
    </row>
    <row r="73" spans="1:34">
      <c r="A73">
        <v>15.447726994586301</v>
      </c>
      <c r="B73">
        <v>4.1509999999999901E-2</v>
      </c>
      <c r="C73">
        <v>4.4576052520480899E-2</v>
      </c>
      <c r="D73">
        <v>300.00056884890301</v>
      </c>
      <c r="E73">
        <v>0.38100000000000001</v>
      </c>
      <c r="F73">
        <v>4.1509999999999901E-2</v>
      </c>
      <c r="G73">
        <v>0.184</v>
      </c>
      <c r="AG73" s="7">
        <v>0.14379119999999901</v>
      </c>
      <c r="AH73" s="5">
        <v>0.16769727449017099</v>
      </c>
    </row>
    <row r="74" spans="1:34">
      <c r="A74">
        <v>15.447726994586301</v>
      </c>
      <c r="B74">
        <v>4.2102999999999897E-2</v>
      </c>
      <c r="C74">
        <v>4.4576052520480899E-2</v>
      </c>
      <c r="D74">
        <v>300.00056884890301</v>
      </c>
      <c r="E74">
        <v>0.38100000000000001</v>
      </c>
      <c r="F74">
        <v>4.2102999999999897E-2</v>
      </c>
      <c r="G74">
        <v>0.184</v>
      </c>
      <c r="AG74" s="6">
        <v>0.15063840000000001</v>
      </c>
      <c r="AH74" s="5">
        <v>0.14064924463835399</v>
      </c>
    </row>
    <row r="75" spans="1:34">
      <c r="A75">
        <v>15.447726994586301</v>
      </c>
      <c r="B75">
        <v>4.2695999999999901E-2</v>
      </c>
      <c r="C75">
        <v>4.4576052520480899E-2</v>
      </c>
      <c r="D75">
        <v>300.00056884890301</v>
      </c>
      <c r="E75">
        <v>0.38100000000000001</v>
      </c>
      <c r="F75">
        <v>4.2695999999999901E-2</v>
      </c>
      <c r="G75">
        <v>0.184</v>
      </c>
      <c r="AG75" s="7">
        <v>0.1574856</v>
      </c>
      <c r="AH75" s="5">
        <v>0.107298616485655</v>
      </c>
    </row>
    <row r="76" spans="1:34">
      <c r="A76">
        <v>15.447726994586301</v>
      </c>
      <c r="B76">
        <v>4.3289000000000001E-2</v>
      </c>
      <c r="C76">
        <v>4.4576052520480899E-2</v>
      </c>
      <c r="D76">
        <v>300.00056884890301</v>
      </c>
      <c r="E76">
        <v>0.38100000000000001</v>
      </c>
      <c r="F76">
        <v>4.3289000000000001E-2</v>
      </c>
      <c r="G76">
        <v>0.184</v>
      </c>
      <c r="AG76" s="7">
        <v>0.164332799999999</v>
      </c>
      <c r="AH76" s="5">
        <v>8.0669610429053407E-2</v>
      </c>
    </row>
    <row r="77" spans="1:34">
      <c r="A77">
        <v>15.447726994586301</v>
      </c>
      <c r="B77">
        <v>4.38819999999999E-2</v>
      </c>
      <c r="C77">
        <v>4.4576052520480899E-2</v>
      </c>
      <c r="D77">
        <v>300.00056884890301</v>
      </c>
      <c r="E77">
        <v>0.38100000000000001</v>
      </c>
      <c r="F77">
        <v>4.38819999999999E-2</v>
      </c>
      <c r="G77">
        <v>0.184</v>
      </c>
      <c r="AG77" s="6">
        <v>0.17118</v>
      </c>
      <c r="AH77" s="5">
        <v>8.0669610429053407E-2</v>
      </c>
    </row>
    <row r="78" spans="1:34">
      <c r="A78">
        <v>15.447726994586301</v>
      </c>
      <c r="B78">
        <v>4.4475000000000001E-2</v>
      </c>
      <c r="C78">
        <v>4.4576052520480899E-2</v>
      </c>
      <c r="D78">
        <v>300.00056884890301</v>
      </c>
      <c r="E78">
        <v>0.38100000000000001</v>
      </c>
      <c r="F78">
        <v>4.4475000000000001E-2</v>
      </c>
      <c r="G78">
        <v>0.184</v>
      </c>
      <c r="AG78" s="7">
        <v>0.1780272</v>
      </c>
      <c r="AH78" s="5">
        <v>2.8464211657914601E-2</v>
      </c>
    </row>
    <row r="79" spans="1:34">
      <c r="A79">
        <v>15.186461047548899</v>
      </c>
      <c r="B79">
        <v>4.50679999999999E-2</v>
      </c>
      <c r="C79">
        <v>2.8151159501922401E-2</v>
      </c>
      <c r="D79">
        <v>300.00540181362999</v>
      </c>
      <c r="E79">
        <v>0.38100000000000001</v>
      </c>
      <c r="F79">
        <v>4.50679999999999E-2</v>
      </c>
      <c r="G79">
        <v>0.184</v>
      </c>
      <c r="AG79" s="7">
        <v>0.184874399999999</v>
      </c>
      <c r="AH79" s="5">
        <v>2.8464211657914601E-2</v>
      </c>
    </row>
    <row r="80" spans="1:34">
      <c r="A80">
        <v>15.186461047548899</v>
      </c>
      <c r="B80">
        <v>4.5661E-2</v>
      </c>
      <c r="C80">
        <v>2.8151159501922401E-2</v>
      </c>
      <c r="D80">
        <v>300.00540181362999</v>
      </c>
      <c r="E80">
        <v>0.38100000000000001</v>
      </c>
      <c r="F80">
        <v>4.5661E-2</v>
      </c>
      <c r="G80">
        <v>0.184</v>
      </c>
      <c r="AG80" s="6">
        <v>0.19172159999999999</v>
      </c>
      <c r="AH80" s="5">
        <v>-1.1746732117382299E-2</v>
      </c>
    </row>
    <row r="81" spans="1:34">
      <c r="A81">
        <v>15.186461047548899</v>
      </c>
      <c r="B81">
        <v>4.6254000000000003E-2</v>
      </c>
      <c r="C81">
        <v>2.8151159501922401E-2</v>
      </c>
      <c r="D81">
        <v>300.00540181362999</v>
      </c>
      <c r="E81">
        <v>0.38100000000000001</v>
      </c>
      <c r="F81">
        <v>4.6254000000000003E-2</v>
      </c>
      <c r="G81">
        <v>0.184</v>
      </c>
      <c r="AG81" s="6">
        <v>0.19856879999999899</v>
      </c>
      <c r="AH81" s="5">
        <v>-6.0412113150029499E-2</v>
      </c>
    </row>
    <row r="82" spans="1:34">
      <c r="A82">
        <v>15.186461047548899</v>
      </c>
      <c r="B82">
        <v>4.6847E-2</v>
      </c>
      <c r="C82">
        <v>2.8151159501922401E-2</v>
      </c>
      <c r="D82">
        <v>300.00540181362999</v>
      </c>
      <c r="E82">
        <v>0.38100000000000001</v>
      </c>
      <c r="F82">
        <v>4.6847E-2</v>
      </c>
      <c r="G82">
        <v>0.184</v>
      </c>
      <c r="AG82" s="7">
        <v>0.20541599999999999</v>
      </c>
      <c r="AH82" s="5">
        <v>-6.0412113150029499E-2</v>
      </c>
    </row>
    <row r="83" spans="1:34">
      <c r="A83">
        <v>15.186461047548899</v>
      </c>
      <c r="B83">
        <v>4.7440000000000003E-2</v>
      </c>
      <c r="C83">
        <v>2.8151159501922401E-2</v>
      </c>
      <c r="D83">
        <v>300.00540181362999</v>
      </c>
      <c r="E83">
        <v>0.38100000000000001</v>
      </c>
      <c r="F83">
        <v>4.7440000000000003E-2</v>
      </c>
      <c r="G83">
        <v>0.184</v>
      </c>
      <c r="AG83" s="7">
        <v>0.21226319999999901</v>
      </c>
      <c r="AH83" s="5">
        <v>-7.8983568726401193E-2</v>
      </c>
    </row>
    <row r="84" spans="1:34">
      <c r="A84">
        <v>15.186461047548899</v>
      </c>
      <c r="B84">
        <v>4.8032999999999902E-2</v>
      </c>
      <c r="C84">
        <v>2.8151159501922401E-2</v>
      </c>
      <c r="D84">
        <v>300.00540181362999</v>
      </c>
      <c r="E84">
        <v>0.38100000000000001</v>
      </c>
      <c r="F84">
        <v>4.8032999999999902E-2</v>
      </c>
      <c r="G84">
        <v>0.184</v>
      </c>
      <c r="AG84" s="6">
        <v>0.21911039999999901</v>
      </c>
      <c r="AH84" s="5">
        <v>-0.12810193265278599</v>
      </c>
    </row>
    <row r="85" spans="1:34">
      <c r="A85">
        <v>15.186461047548899</v>
      </c>
      <c r="B85">
        <v>4.8625999999999898E-2</v>
      </c>
      <c r="C85">
        <v>2.8151159501922401E-2</v>
      </c>
      <c r="D85">
        <v>300.00540181362999</v>
      </c>
      <c r="E85">
        <v>0.38100000000000001</v>
      </c>
      <c r="F85">
        <v>4.8625999999999898E-2</v>
      </c>
      <c r="G85">
        <v>0.184</v>
      </c>
      <c r="AG85" s="7">
        <v>0.22595759999999901</v>
      </c>
      <c r="AH85" s="5">
        <v>-0.12810193265278599</v>
      </c>
    </row>
    <row r="86" spans="1:34">
      <c r="A86">
        <v>15.186461047548899</v>
      </c>
      <c r="B86">
        <v>4.9218999999999902E-2</v>
      </c>
      <c r="C86">
        <v>2.8151159501922401E-2</v>
      </c>
      <c r="D86">
        <v>300.00540181362999</v>
      </c>
      <c r="E86">
        <v>0.38100000000000001</v>
      </c>
      <c r="F86">
        <v>4.9218999999999902E-2</v>
      </c>
      <c r="G86">
        <v>0.184</v>
      </c>
      <c r="AG86" s="7">
        <v>0.23280479999999901</v>
      </c>
      <c r="AH86" s="5">
        <v>-0.17783400747498501</v>
      </c>
    </row>
    <row r="87" spans="1:34">
      <c r="A87">
        <v>15.186461047548899</v>
      </c>
      <c r="B87">
        <v>4.9811999999999898E-2</v>
      </c>
      <c r="C87">
        <v>2.8151159501922401E-2</v>
      </c>
      <c r="D87">
        <v>300.00540181362999</v>
      </c>
      <c r="E87">
        <v>0.38100000000000001</v>
      </c>
      <c r="F87">
        <v>4.9811999999999898E-2</v>
      </c>
      <c r="G87">
        <v>0.184</v>
      </c>
      <c r="AG87" s="6">
        <v>0.239651999999999</v>
      </c>
      <c r="AH87" s="5">
        <v>-0.17783400747498501</v>
      </c>
    </row>
    <row r="88" spans="1:34">
      <c r="A88">
        <v>15.186461047548899</v>
      </c>
      <c r="B88">
        <v>5.0404999999999901E-2</v>
      </c>
      <c r="C88">
        <v>2.8151159501922401E-2</v>
      </c>
      <c r="D88">
        <v>300.00540181362999</v>
      </c>
      <c r="E88">
        <v>0.38100000000000001</v>
      </c>
      <c r="F88">
        <v>5.0404999999999901E-2</v>
      </c>
      <c r="G88">
        <v>0.184</v>
      </c>
      <c r="AG88" s="7">
        <v>0.2464992</v>
      </c>
      <c r="AH88" s="5">
        <v>-0.23162359637445701</v>
      </c>
    </row>
    <row r="89" spans="1:34">
      <c r="A89">
        <v>15.186461047548899</v>
      </c>
      <c r="B89">
        <v>5.0997999999999898E-2</v>
      </c>
      <c r="C89">
        <v>2.8151159501922401E-2</v>
      </c>
      <c r="D89">
        <v>300.00540181362999</v>
      </c>
      <c r="E89">
        <v>0.38100000000000001</v>
      </c>
      <c r="F89">
        <v>5.0997999999999898E-2</v>
      </c>
      <c r="G89">
        <v>0.184</v>
      </c>
      <c r="AG89" s="7">
        <v>0.25334639999999897</v>
      </c>
      <c r="AH89" s="5">
        <v>-0.26165454198626797</v>
      </c>
    </row>
    <row r="90" spans="1:34">
      <c r="A90">
        <v>15.186461047548899</v>
      </c>
      <c r="B90">
        <v>5.1590999999999901E-2</v>
      </c>
      <c r="C90">
        <v>2.8151159501922401E-2</v>
      </c>
      <c r="D90">
        <v>300.00540181362999</v>
      </c>
      <c r="E90">
        <v>0.38100000000000001</v>
      </c>
      <c r="F90">
        <v>5.1590999999999901E-2</v>
      </c>
      <c r="G90">
        <v>0.184</v>
      </c>
      <c r="AG90" s="6">
        <v>0.26019360000000002</v>
      </c>
      <c r="AH90" s="5">
        <v>-0.26165454198626797</v>
      </c>
    </row>
    <row r="91" spans="1:34">
      <c r="A91">
        <v>15.186461047548899</v>
      </c>
      <c r="B91">
        <v>5.2184000000000001E-2</v>
      </c>
      <c r="C91">
        <v>2.8151159501922401E-2</v>
      </c>
      <c r="D91">
        <v>300.00540181362999</v>
      </c>
      <c r="E91">
        <v>0.38100000000000001</v>
      </c>
      <c r="F91">
        <v>5.2184000000000001E-2</v>
      </c>
      <c r="G91">
        <v>0.184</v>
      </c>
      <c r="AG91" s="7">
        <v>0.26704079999999902</v>
      </c>
      <c r="AH91" s="5">
        <v>-0.31866977584593298</v>
      </c>
    </row>
    <row r="92" spans="1:34">
      <c r="A92">
        <v>15.186461047548899</v>
      </c>
      <c r="B92">
        <v>5.27769999999999E-2</v>
      </c>
      <c r="C92">
        <v>2.8151159501922401E-2</v>
      </c>
      <c r="D92">
        <v>300.00540181362999</v>
      </c>
      <c r="E92">
        <v>0.38100000000000001</v>
      </c>
      <c r="F92">
        <v>5.27769999999999E-2</v>
      </c>
      <c r="G92">
        <v>0.184</v>
      </c>
      <c r="AG92" s="7">
        <v>0.27388800000000002</v>
      </c>
      <c r="AH92" s="5">
        <v>-0.31866977584593298</v>
      </c>
    </row>
    <row r="93" spans="1:34">
      <c r="A93">
        <v>15.186461047548899</v>
      </c>
      <c r="B93">
        <v>5.3370000000000001E-2</v>
      </c>
      <c r="C93">
        <v>2.8151159501922401E-2</v>
      </c>
      <c r="D93">
        <v>300.00540181362999</v>
      </c>
      <c r="E93">
        <v>0.38100000000000001</v>
      </c>
      <c r="F93">
        <v>5.3370000000000001E-2</v>
      </c>
      <c r="G93">
        <v>0.184</v>
      </c>
      <c r="AG93" s="6">
        <v>0.28073520000000002</v>
      </c>
      <c r="AH93" s="5">
        <v>-0.38291172769538301</v>
      </c>
    </row>
    <row r="94" spans="1:34">
      <c r="A94">
        <v>15.186461047548899</v>
      </c>
      <c r="B94">
        <v>5.39629999999999E-2</v>
      </c>
      <c r="C94">
        <v>2.8151159501922401E-2</v>
      </c>
      <c r="D94">
        <v>300.00540181362999</v>
      </c>
      <c r="E94">
        <v>0.38100000000000001</v>
      </c>
      <c r="F94">
        <v>5.39629999999999E-2</v>
      </c>
      <c r="G94">
        <v>0.184</v>
      </c>
      <c r="AG94" s="6">
        <v>0.28758240000000002</v>
      </c>
      <c r="AH94" s="5">
        <v>-0.37740617849991498</v>
      </c>
    </row>
    <row r="95" spans="1:34">
      <c r="A95">
        <v>15.186461047548899</v>
      </c>
      <c r="B95">
        <v>5.4556E-2</v>
      </c>
      <c r="C95">
        <v>2.8151159501922401E-2</v>
      </c>
      <c r="D95">
        <v>300.00540181362999</v>
      </c>
      <c r="E95">
        <v>0.38100000000000001</v>
      </c>
      <c r="F95">
        <v>5.4556E-2</v>
      </c>
      <c r="G95">
        <v>0.184</v>
      </c>
      <c r="AG95" s="6">
        <v>0.29442960000000001</v>
      </c>
      <c r="AH95" s="5">
        <v>-0.41859425571216702</v>
      </c>
    </row>
    <row r="96" spans="1:34">
      <c r="A96">
        <v>15.186461047548899</v>
      </c>
      <c r="B96">
        <v>5.5148999999999997E-2</v>
      </c>
      <c r="C96">
        <v>2.8151159501922401E-2</v>
      </c>
      <c r="D96">
        <v>300.00540181362999</v>
      </c>
      <c r="E96">
        <v>0.38100000000000001</v>
      </c>
      <c r="F96">
        <v>5.5148999999999997E-2</v>
      </c>
      <c r="G96">
        <v>0.184</v>
      </c>
      <c r="AG96" s="6">
        <v>0.30127680000000001</v>
      </c>
      <c r="AH96" s="5">
        <v>-0.492655768637491</v>
      </c>
    </row>
    <row r="97" spans="1:34">
      <c r="A97">
        <v>15.186461047548899</v>
      </c>
      <c r="B97">
        <v>5.5741999999999903E-2</v>
      </c>
      <c r="C97">
        <v>2.8151159501922401E-2</v>
      </c>
      <c r="D97">
        <v>300.00540181362999</v>
      </c>
      <c r="E97">
        <v>0.38100000000000001</v>
      </c>
      <c r="F97">
        <v>5.5741999999999903E-2</v>
      </c>
      <c r="G97">
        <v>0.184</v>
      </c>
      <c r="AG97" s="6">
        <v>0.30812399999999901</v>
      </c>
      <c r="AH97" s="5">
        <v>-0.492655768637491</v>
      </c>
    </row>
    <row r="98" spans="1:34">
      <c r="A98">
        <v>15.186461047548899</v>
      </c>
      <c r="B98">
        <v>5.6334999999999899E-2</v>
      </c>
      <c r="C98">
        <v>2.8151159501922401E-2</v>
      </c>
      <c r="D98">
        <v>300.00540181362999</v>
      </c>
      <c r="E98">
        <v>0.38100000000000001</v>
      </c>
      <c r="F98">
        <v>5.6334999999999899E-2</v>
      </c>
      <c r="G98">
        <v>0.184</v>
      </c>
      <c r="AG98" s="6">
        <v>0.31497120000000001</v>
      </c>
      <c r="AH98" s="5">
        <v>-0.492655768637491</v>
      </c>
    </row>
    <row r="99" spans="1:34">
      <c r="A99">
        <v>15.186461047548899</v>
      </c>
      <c r="B99">
        <v>5.6927999999999902E-2</v>
      </c>
      <c r="C99">
        <v>2.8151159501922401E-2</v>
      </c>
      <c r="D99">
        <v>300.00540181362999</v>
      </c>
      <c r="E99">
        <v>0.38100000000000001</v>
      </c>
      <c r="F99">
        <v>5.6927999999999902E-2</v>
      </c>
      <c r="G99">
        <v>0.184</v>
      </c>
      <c r="AG99" s="6">
        <v>0.32181839999999901</v>
      </c>
      <c r="AH99" s="5">
        <v>-0.54935946104518396</v>
      </c>
    </row>
    <row r="100" spans="1:34">
      <c r="A100">
        <v>15.186461047548899</v>
      </c>
      <c r="B100">
        <v>5.7520999999999899E-2</v>
      </c>
      <c r="C100">
        <v>2.8151159501922401E-2</v>
      </c>
      <c r="D100">
        <v>300.00540181362999</v>
      </c>
      <c r="E100">
        <v>0.38100000000000001</v>
      </c>
      <c r="F100">
        <v>5.7520999999999899E-2</v>
      </c>
      <c r="G100">
        <v>0.184</v>
      </c>
      <c r="AG100" s="6">
        <v>0.3286656</v>
      </c>
      <c r="AH100" s="5">
        <v>-0.59137654576933496</v>
      </c>
    </row>
    <row r="101" spans="1:34">
      <c r="A101">
        <v>15.186461047548899</v>
      </c>
      <c r="B101">
        <v>5.8113999999999902E-2</v>
      </c>
      <c r="C101">
        <v>2.8151159501922401E-2</v>
      </c>
      <c r="D101">
        <v>300.00540181362999</v>
      </c>
      <c r="E101">
        <v>0.38100000000000001</v>
      </c>
      <c r="F101">
        <v>5.8113999999999902E-2</v>
      </c>
      <c r="G101">
        <v>0.184</v>
      </c>
      <c r="AG101" s="6">
        <v>0.335512799999999</v>
      </c>
      <c r="AH101" s="5">
        <v>-0.64304417624074495</v>
      </c>
    </row>
    <row r="102" spans="1:34">
      <c r="A102">
        <v>15.186461047548899</v>
      </c>
      <c r="B102">
        <v>5.8706999999999898E-2</v>
      </c>
      <c r="C102">
        <v>2.8151159501922401E-2</v>
      </c>
      <c r="D102">
        <v>300.00540181362999</v>
      </c>
      <c r="E102">
        <v>0.38100000000000001</v>
      </c>
      <c r="F102">
        <v>5.8706999999999898E-2</v>
      </c>
      <c r="G102">
        <v>0.184</v>
      </c>
      <c r="AG102" s="6">
        <v>0.34236</v>
      </c>
      <c r="AH102" s="5">
        <v>-0.668756385721474</v>
      </c>
    </row>
    <row r="103" spans="1:34">
      <c r="A103">
        <v>15.4085913872751</v>
      </c>
      <c r="B103">
        <v>5.9299999999999901E-2</v>
      </c>
      <c r="C103">
        <v>-1.0983707692567001E-2</v>
      </c>
      <c r="D103">
        <v>300.00048913678398</v>
      </c>
      <c r="E103">
        <v>0.38100000000000001</v>
      </c>
      <c r="F103">
        <v>5.9299999999999901E-2</v>
      </c>
      <c r="G103">
        <v>0.184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S1</vt:lpstr>
      <vt:lpstr>S2</vt:lpstr>
      <vt:lpstr>S3</vt:lpstr>
      <vt:lpstr>S4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Jeremiah</dc:creator>
  <cp:lastModifiedBy>Jeremiah Hasahatan</cp:lastModifiedBy>
  <dcterms:created xsi:type="dcterms:W3CDTF">2026-03-23T13:22:42Z</dcterms:created>
  <dcterms:modified xsi:type="dcterms:W3CDTF">2026-10-27T16:02:01Z</dcterms:modified>
</cp:coreProperties>
</file>